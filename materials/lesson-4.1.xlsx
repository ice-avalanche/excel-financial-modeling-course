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едпосылки" sheetId="1" state="visible" r:id="rId3"/>
    <sheet name="Модель" sheetId="2" state="visible" r:id="rId4"/>
    <sheet name="Торнадо" sheetId="3" state="visible" r:id="rId5"/>
    <sheet name="Зада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<sst xmlns="http://schemas.openxmlformats.org/spreadsheetml/2006/main" count="140" uniqueCount="118">
  <si>
    <t xml:space="preserve">ЗАНЯТИЕ 4.1 — АНАЛИЗ ЧУВСТВИТЕЛЬНОСТИ ФИНАНСОВОЙ МОДЕЛИ</t>
  </si>
  <si>
    <t xml:space="preserve">Учебная модель упрощена намеренно: методика финансового расчета не является предметом занятия. Изменяемые предпосылки выделены желтым фоном и синим шрифтом. Таблицы данных Excel размещены на том же листе, что и входные ячейки: это техническое ограничение инструмента.</t>
  </si>
  <si>
    <t xml:space="preserve">Базовые предпосылки</t>
  </si>
  <si>
    <t xml:space="preserve">Однофакторная таблица: цена</t>
  </si>
  <si>
    <t xml:space="preserve">Однофакторная таблица: ставка</t>
  </si>
  <si>
    <t xml:space="preserve">Эластичность результата</t>
  </si>
  <si>
    <t xml:space="preserve">Параметр</t>
  </si>
  <si>
    <t xml:space="preserve">Значение</t>
  </si>
  <si>
    <t xml:space="preserve">Единица</t>
  </si>
  <si>
    <t xml:space="preserve">Цена, руб./ед.</t>
  </si>
  <si>
    <t xml:space="preserve">Ставка</t>
  </si>
  <si>
    <t xml:space="preserve">Показатель</t>
  </si>
  <si>
    <t xml:space="preserve">База X</t>
  </si>
  <si>
    <t xml:space="preserve">X +10%</t>
  </si>
  <si>
    <t xml:space="preserve">NPV +10%</t>
  </si>
  <si>
    <t xml:space="preserve">Эластичность</t>
  </si>
  <si>
    <t xml:space="preserve">Объем продаж, год 1</t>
  </si>
  <si>
    <t xml:space="preserve">ед.</t>
  </si>
  <si>
    <t xml:space="preserve">Цена</t>
  </si>
  <si>
    <t xml:space="preserve">Цена, год 1</t>
  </si>
  <si>
    <t xml:space="preserve">руб./ед.</t>
  </si>
  <si>
    <t xml:space="preserve">Объем</t>
  </si>
  <si>
    <t xml:space="preserve">Рост объема</t>
  </si>
  <si>
    <t xml:space="preserve">%/год</t>
  </si>
  <si>
    <t xml:space="preserve">Переменные затраты</t>
  </si>
  <si>
    <t xml:space="preserve">Рост цены</t>
  </si>
  <si>
    <t xml:space="preserve">Постоянные затраты</t>
  </si>
  <si>
    <t xml:space="preserve">Переменные затраты, год 1</t>
  </si>
  <si>
    <t xml:space="preserve">CAPEX</t>
  </si>
  <si>
    <t xml:space="preserve">Рост переменных затрат</t>
  </si>
  <si>
    <t xml:space="preserve">Постоянные затраты, год 1</t>
  </si>
  <si>
    <t xml:space="preserve">руб.</t>
  </si>
  <si>
    <t xml:space="preserve">Эластичность = относительное изменение результата / относительное изменение предпосылки. Знак показывает направление, модуль — силу реакции. Показатель локален и зависит от базовой точки.</t>
  </si>
  <si>
    <t xml:space="preserve">Рост постоянных затрат</t>
  </si>
  <si>
    <t xml:space="preserve">Налоговая ставка</t>
  </si>
  <si>
    <t xml:space="preserve">%</t>
  </si>
  <si>
    <t xml:space="preserve">Первоначальный CAPEX</t>
  </si>
  <si>
    <t xml:space="preserve">Ставка дисконтирования</t>
  </si>
  <si>
    <t xml:space="preserve">Вертикальная таблица: «Подставлять значения по столбцам в» = $B$16. Ставка изменяется в процентных пунктах; не путать ±2 п.п. и ±2 %.</t>
  </si>
  <si>
    <t xml:space="preserve">Контроль модели</t>
  </si>
  <si>
    <t xml:space="preserve">Комментарий</t>
  </si>
  <si>
    <t xml:space="preserve">NPV базового варианта</t>
  </si>
  <si>
    <t xml:space="preserve">Должно совпадать с листом «Модель»</t>
  </si>
  <si>
    <t xml:space="preserve">Изменение предпосылки</t>
  </si>
  <si>
    <t xml:space="preserve">После анализа вернуть базовое значение</t>
  </si>
  <si>
    <t xml:space="preserve">Практика: выделить E5:F18 → Данные → Анализ «что если» → Таблица данных. Значения расположены вертикально, поэтому указать «Подставлять значения по столбцам в» = $B$7.</t>
  </si>
  <si>
    <t xml:space="preserve">Мини-таблицы данных для tornado chart: Low / Base / High</t>
  </si>
  <si>
    <t xml:space="preserve">Для каждой пары выделить четыре ячейки по вертикали вместе с формулой NPV и выполнить «Таблица данных». В качестве ячейки подстановки выбрать соответствующую исходную предпосылку в столбце B. Для ставки используются 13 %, 15 %, 17 %: это ±2 процентных пункта.</t>
  </si>
  <si>
    <t xml:space="preserve">УПРОЩЕННАЯ ФИНАНСОВАЯ МОДЕЛЬ</t>
  </si>
  <si>
    <t xml:space="preserve">Цель листа — единый расчетный результат для анализа чувствительности. Модель учебная: FCF = операционная прибыль после налога; амортизация, оборотный капитал и иные элементы не рассматриваются.</t>
  </si>
  <si>
    <t xml:space="preserve">Ключевой показатель</t>
  </si>
  <si>
    <t xml:space="preserve">NPV проекта, руб.</t>
  </si>
  <si>
    <t xml:space="preserve">Базовая ставка дисконтирования</t>
  </si>
  <si>
    <t xml:space="preserve">Год 0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</si>
  <si>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</si>
  <si>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</si>
  <si>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</si>
  <si>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</si>
  <si>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</si>
  <si>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Объем, ед.</t>
  </si>
  <si>
    <t xml:space="preserve">Выручка, руб.</t>
  </si>
  <si>
    <t xml:space="preserve">Переменные затраты, руб./ед.</t>
  </si>
  <si>
    <t xml:space="preserve">Переменные затраты, руб.</t>
  </si>
  <si>
    <t xml:space="preserve">Постоянные затраты, руб.</t>
  </si>
  <si>
    <t xml:space="preserve">Операционная прибыль, руб.</t>
  </si>
  <si>
    <t xml:space="preserve">Налог, руб.</t>
  </si>
  <si>
    <t xml:space="preserve">FCF, руб.</t>
  </si>
  <si>
    <t xml:space="preserve">Коэффициент дисконтирования</t>
  </si>
  <si>
    <t xml:space="preserve">PV FCF, руб.</t>
  </si>
  <si>
    <t xml:space="preserve">ИСТОЧНИК ДАННЫХ ДЛЯ TORNADO CHART</t>
  </si>
  <si>
    <t xml:space="preserve">Таблица заполняется автоматически после создания шести мини-таблиц данных на листе «Предпосылки». Для графика используются отклонения от базового NPV, а не абсолютные уровни NPV.</t>
  </si>
  <si>
    <t xml:space="preserve">Фактор</t>
  </si>
  <si>
    <t xml:space="preserve">NPV Low</t>
  </si>
  <si>
    <t xml:space="preserve">NPV Base</t>
  </si>
  <si>
    <t xml:space="preserve">NPV High</t>
  </si>
  <si>
    <t xml:space="preserve">Δ Low</t>
  </si>
  <si>
    <t xml:space="preserve">Δ High</t>
  </si>
  <si>
    <t xml:space="preserve">Макс. эффект</t>
  </si>
  <si>
    <t xml:space="preserve">Ранг / сортировка</t>
  </si>
  <si>
    <t xml:space="preserve">Построение: после заполнения таблицы отсортировать строки по «Макс. эффект» по убыванию. Для диаграммы выбрать «Фактор», «Δ Low» и «Δ High» → линейчатая диаграмма с группировкой. Ось должна проходить через 0; отрицательное отклонение идет влево, положительное — вправо.</t>
  </si>
  <si>
    <t xml:space="preserve">ЗАДАНИЯ ЗАНЯТИЯ 4.1</t>
  </si>
  <si>
    <t xml:space="preserve">Работа выполняется в файле занятия. Таблица данных Excel — это инструмент анализа «что если», а не структурированная таблица Ctrl+T. Лист «Преподавателю» перед передачей группе удаляется.</t>
  </si>
  <si>
    <t xml:space="preserve">№</t>
  </si>
  <si>
    <t xml:space="preserve">Задание</t>
  </si>
  <si>
    <t xml:space="preserve">Контроль</t>
  </si>
  <si>
    <t xml:space="preserve">Результат / вывод</t>
  </si>
  <si>
    <t xml:space="preserve">Статус</t>
  </si>
  <si>
    <t xml:space="preserve">Примечание</t>
  </si>
  <si>
    <t xml:space="preserve">Проверить базовый вариант модели и вернуть все предпосылки к исходным значениям.</t>
  </si>
  <si>
    <t xml:space="preserve">NPV = 39 602 574 руб.</t>
  </si>
  <si>
    <t xml:space="preserve">Не начинать чувствительность на измененной базе.</t>
  </si>
  <si>
    <t xml:space="preserve">Построить однофакторную таблицу данных по цене в диапазоне 900–1 500 руб./ед. с шагом 50.</t>
  </si>
  <si>
    <t xml:space="preserve">При 1 000 руб. NPV &lt; 0; при 1 050 руб. NPV &gt; 0</t>
  </si>
  <si>
    <t xml:space="preserve">Вертикальный список → ячейка подстановки по столбцам = Предпосылки!B7.</t>
  </si>
  <si>
    <t xml:space="preserve">По таблице цены определить интервал, внутри которого NPV меняет знак. Не использовать Goal Seek.</t>
  </si>
  <si>
    <t xml:space="preserve">Критическая цена лежит между 1 000 и 1 050 руб./ед.</t>
  </si>
  <si>
    <t xml:space="preserve">Точное критическое значение — тема занятия 4.2.</t>
  </si>
  <si>
    <t xml:space="preserve">Построить однофакторную таблицу по ставке дисконтирования от 8 % до 24 % с шагом 2 п.п. Сравнить форму отклика с ценой.</t>
  </si>
  <si>
    <t xml:space="preserve">NPV при 8 % ≈ 53,85 млн; при 24 % ≈ 26,25 млн</t>
  </si>
  <si>
    <t xml:space="preserve">Шаг задается в процентных пунктах.</t>
  </si>
  <si>
    <t xml:space="preserve">Рассчитать эластичность NPV к цене при увеличении цены на 10 %.</t>
  </si>
  <si>
    <t xml:space="preserve">Эластичность ≈ 7,35x</t>
  </si>
  <si>
    <t xml:space="preserve">Интерпретация: +1 % цены около базы дает примерно +7,35 % NPV при прочих равных.</t>
  </si>
  <si>
    <t xml:space="preserve">Создать шесть мини-таблиц данных Low / Base / High для факторов tornado chart.</t>
  </si>
  <si>
    <t xml:space="preserve">Во всех строках Base NPV одинаков: 39 602 574 руб.</t>
  </si>
  <si>
    <t xml:space="preserve">Для ставки: 13 %, 15 %, 17 %; для остальных факторов — ±10 %.</t>
  </si>
  <si>
    <t xml:space="preserve">На листе «Торнадо» проверить отклонения от базы и отсортировать факторы по максимальному абсолютному эффекту.</t>
  </si>
  <si>
    <t xml:space="preserve">Топ-3: Цена → Переменные затраты → Объем</t>
  </si>
  <si>
    <t xml:space="preserve">Ранжируется эффект выбранного диапазона, а не вероятность изменения.</t>
  </si>
  <si>
    <t xml:space="preserve">Построить tornado chart по Δ Low и Δ High. Использовать линейчатую диаграмму, ось через ноль.</t>
  </si>
  <si>
    <t xml:space="preserve">Цена: примерно ±29,12 млн руб.</t>
  </si>
  <si>
    <t xml:space="preserve">Не строить tornado по абсолютным NPV — общий базовый уровень скроет различия.</t>
  </si>
  <si>
    <t xml:space="preserve">Сформулировать три вывода: самый чувствительный фактор; фактор с обратным направлением; ограничение интерпретации tornado chart.</t>
  </si>
  <si>
    <t xml:space="preserve">Цена; затраты имеют обратный знак; результат зависит от заданных диапазонов.</t>
  </si>
  <si>
    <t xml:space="preserve">Не приписывать графику вероятностный смысл.</t>
  </si>
  <si>
    <t xml:space="preserve">Повышенный уровень: построить второй tornado с более узкими диапазонами и сравнить порядок факторов.</t>
  </si>
  <si>
    <t xml:space="preserve">Порядок может измениться</t>
  </si>
  <si>
    <t xml:space="preserve">Это демонстрирует зависимость рейтинга от выбранного диапазона.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</si>
</sst>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[RED]\(#,##0\);\-"/>
    <numFmt numFmtId="166" formatCode="0.0%"/>
    <numFmt numFmtId="167" formatCode="0.00\x"/>
    <numFmt numFmtId="168" formatCode="#,##0.00;[RED]\(#,##0.00\);\-"/>
    <numFmt numFmtId="169" formatCode="0.0000"/>
    <numFmt numFmtId="170" formatCode="0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F0D9"/>
      </patternFill>
    </fill>
    <fill>
      <patternFill patternType="solid">
        <fgColor rgb="FFD9E2F3"/>
        <bgColor rgb="FFD9EAF7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D9E2F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6" min="5" style="0" width="16"/>
    <col collapsed="false" customWidth="true" hidden="false" outlineLevel="0" max="9" min="8" style="0" width="16"/>
    <col collapsed="false" customWidth="true" hidden="false" outlineLevel="0" max="11" min="11" style="0" width="23"/>
    <col collapsed="false" customWidth="true" hidden="false" outlineLevel="0" max="12" min="12" style="0" width="16"/>
    <col collapsed="false" customWidth="true" hidden="false" outlineLevel="0" max="15" min="14" style="0" width="16"/>
    <col collapsed="false" customWidth="true" hidden="false" outlineLevel="0" max="18" min="17" style="0" width="16"/>
    <col collapsed="false" customWidth="true" hidden="false" outlineLevel="0" max="21" min="20" style="0" width="16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5" hidden="false" customHeight="true" outlineLevel="0" collapsed="false">
      <c r="A4" s="3" t="s">
        <v>2</v>
      </c>
      <c r="B4" s="3"/>
      <c r="C4" s="3"/>
      <c r="E4" s="3" t="s">
        <v>3</v>
      </c>
      <c r="F4" s="3"/>
      <c r="H4" s="3" t="s">
        <v>4</v>
      </c>
      <c r="I4" s="3"/>
      <c r="K4" s="3" t="s">
        <v>5</v>
      </c>
      <c r="L4" s="3"/>
      <c r="M4" s="3"/>
      <c r="N4" s="3"/>
      <c r="O4" s="3"/>
    </row>
    <row r="5" customFormat="false" ht="15" hidden="false" customHeight="true" outlineLevel="0" collapsed="false">
      <c r="A5" s="4" t="s">
        <v>6</v>
      </c>
      <c r="B5" s="4" t="s">
        <v>7</v>
      </c>
      <c r="C5" s="4" t="s">
        <v>8</v>
      </c>
      <c r="E5" s="5" t="s">
        <v>9</v>
      </c>
      <c r="F5" s="6" t="n">
        <f aca="false">Модель!$B$5</f>
        <v>39602573.968576</v>
      </c>
      <c r="H5" s="5" t="s">
        <v>10</v>
      </c>
      <c r="I5" s="6" t="n">
        <f aca="false">Модель!$B$5</f>
        <v>39602573.968576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</row>
    <row r="6" customFormat="false" ht="15" hidden="false" customHeight="true" outlineLevel="0" collapsed="false">
      <c r="A6" s="8" t="s">
        <v>16</v>
      </c>
      <c r="B6" s="9" t="n">
        <v>80000</v>
      </c>
      <c r="C6" s="10" t="s">
        <v>17</v>
      </c>
      <c r="E6" s="11" t="n">
        <v>900</v>
      </c>
      <c r="F6" s="11"/>
      <c r="H6" s="12" t="n">
        <v>0.08</v>
      </c>
      <c r="I6" s="11"/>
      <c r="K6" s="0" t="s">
        <v>18</v>
      </c>
      <c r="L6" s="11" t="n">
        <f aca="false">$B$7</f>
        <v>1200</v>
      </c>
      <c r="M6" s="11" t="n">
        <f aca="false">L6*1.1</f>
        <v>1320</v>
      </c>
      <c r="N6" s="11" t="str">
        <f aca="false">IF(F27="","",F27)</f>
        <v/>
      </c>
      <c r="O6" s="13" t="str">
        <f aca="false">IF(N6="","",((N6-$B$19)/$B$19)/10%)</f>
        <v/>
      </c>
    </row>
    <row r="7" customFormat="false" ht="15" hidden="false" customHeight="true" outlineLevel="0" collapsed="false">
      <c r="A7" s="8" t="s">
        <v>19</v>
      </c>
      <c r="B7" s="9" t="n">
        <v>1200</v>
      </c>
      <c r="C7" s="10" t="s">
        <v>20</v>
      </c>
      <c r="E7" s="11" t="n">
        <v>950</v>
      </c>
      <c r="F7" s="11"/>
      <c r="H7" s="12" t="n">
        <v>0.1</v>
      </c>
      <c r="I7" s="11"/>
      <c r="K7" s="0" t="s">
        <v>21</v>
      </c>
      <c r="L7" s="11" t="n">
        <f aca="false">$B$6</f>
        <v>80000</v>
      </c>
      <c r="M7" s="11" t="n">
        <f aca="false">L7*1.1</f>
        <v>88000</v>
      </c>
      <c r="N7" s="11" t="str">
        <f aca="false">IF(I27="","",I27)</f>
        <v/>
      </c>
      <c r="O7" s="13" t="str">
        <f aca="false">IF(N7="","",((N7-$B$19)/$B$19)/10%)</f>
        <v/>
      </c>
    </row>
    <row r="8" customFormat="false" ht="15" hidden="false" customHeight="true" outlineLevel="0" collapsed="false">
      <c r="A8" s="8" t="s">
        <v>22</v>
      </c>
      <c r="B8" s="14" t="n">
        <v>0.04</v>
      </c>
      <c r="C8" s="10" t="s">
        <v>23</v>
      </c>
      <c r="E8" s="11" t="n">
        <v>1000</v>
      </c>
      <c r="F8" s="11"/>
      <c r="H8" s="12" t="n">
        <v>0.12</v>
      </c>
      <c r="I8" s="11"/>
      <c r="K8" s="0" t="s">
        <v>24</v>
      </c>
      <c r="L8" s="11" t="n">
        <f aca="false">$B$10</f>
        <v>700</v>
      </c>
      <c r="M8" s="11" t="n">
        <f aca="false">L8*1.1</f>
        <v>770</v>
      </c>
      <c r="N8" s="11" t="str">
        <f aca="false">IF(L27="","",L27)</f>
        <v/>
      </c>
      <c r="O8" s="13" t="str">
        <f aca="false">IF(N8="","",((N8-$B$19)/$B$19)/10%)</f>
        <v/>
      </c>
    </row>
    <row r="9" customFormat="false" ht="15" hidden="false" customHeight="true" outlineLevel="0" collapsed="false">
      <c r="A9" s="8" t="s">
        <v>25</v>
      </c>
      <c r="B9" s="14" t="n">
        <v>0.03</v>
      </c>
      <c r="C9" s="10" t="s">
        <v>23</v>
      </c>
      <c r="E9" s="11" t="n">
        <v>1050</v>
      </c>
      <c r="F9" s="11"/>
      <c r="H9" s="12" t="n">
        <v>0.14</v>
      </c>
      <c r="I9" s="11"/>
      <c r="K9" s="0" t="s">
        <v>26</v>
      </c>
      <c r="L9" s="11" t="n">
        <f aca="false">$B$12</f>
        <v>18000000</v>
      </c>
      <c r="M9" s="11" t="n">
        <f aca="false">L9*1.1</f>
        <v>19800000</v>
      </c>
      <c r="N9" s="11" t="str">
        <f aca="false">IF(O27="","",O27)</f>
        <v/>
      </c>
      <c r="O9" s="13" t="str">
        <f aca="false">IF(N9="","",((N9-$B$19)/$B$19)/10%)</f>
        <v/>
      </c>
    </row>
    <row r="10" customFormat="false" ht="15" hidden="false" customHeight="true" outlineLevel="0" collapsed="false">
      <c r="A10" s="8" t="s">
        <v>27</v>
      </c>
      <c r="B10" s="15" t="n">
        <v>700</v>
      </c>
      <c r="C10" s="10" t="s">
        <v>20</v>
      </c>
      <c r="E10" s="11" t="n">
        <v>1100</v>
      </c>
      <c r="F10" s="11"/>
      <c r="H10" s="12" t="n">
        <v>0.16</v>
      </c>
      <c r="I10" s="11"/>
      <c r="K10" s="0" t="s">
        <v>28</v>
      </c>
      <c r="L10" s="11" t="n">
        <f aca="false">$B$15</f>
        <v>30000000</v>
      </c>
      <c r="M10" s="11" t="n">
        <f aca="false">L10*1.1</f>
        <v>33000000</v>
      </c>
      <c r="N10" s="11" t="str">
        <f aca="false">IF(R27="","",R27)</f>
        <v/>
      </c>
      <c r="O10" s="13" t="str">
        <f aca="false">IF(N10="","",((N10-$B$19)/$B$19)/10%)</f>
        <v/>
      </c>
    </row>
    <row r="11" customFormat="false" ht="15" hidden="false" customHeight="true" outlineLevel="0" collapsed="false">
      <c r="A11" s="8" t="s">
        <v>29</v>
      </c>
      <c r="B11" s="14" t="n">
        <v>0.03</v>
      </c>
      <c r="C11" s="10" t="s">
        <v>23</v>
      </c>
      <c r="E11" s="11" t="n">
        <v>1150</v>
      </c>
      <c r="F11" s="11"/>
      <c r="H11" s="12" t="n">
        <v>0.18</v>
      </c>
      <c r="I11" s="11"/>
    </row>
    <row r="12" customFormat="false" ht="15" hidden="false" customHeight="true" outlineLevel="0" collapsed="false">
      <c r="A12" s="8" t="s">
        <v>30</v>
      </c>
      <c r="B12" s="9" t="n">
        <v>18000000</v>
      </c>
      <c r="C12" s="10" t="s">
        <v>31</v>
      </c>
      <c r="E12" s="11" t="n">
        <v>1200</v>
      </c>
      <c r="F12" s="11"/>
      <c r="H12" s="12" t="n">
        <v>0.2</v>
      </c>
      <c r="I12" s="11"/>
      <c r="K12" s="16" t="s">
        <v>32</v>
      </c>
      <c r="L12" s="16"/>
      <c r="M12" s="16"/>
      <c r="N12" s="16"/>
      <c r="O12" s="16"/>
    </row>
    <row r="13" customFormat="false" ht="15" hidden="false" customHeight="true" outlineLevel="0" collapsed="false">
      <c r="A13" s="8" t="s">
        <v>33</v>
      </c>
      <c r="B13" s="14" t="n">
        <v>0.04</v>
      </c>
      <c r="C13" s="10" t="s">
        <v>23</v>
      </c>
      <c r="E13" s="11" t="n">
        <v>1250</v>
      </c>
      <c r="F13" s="11"/>
      <c r="H13" s="12" t="n">
        <v>0.22</v>
      </c>
      <c r="I13" s="11"/>
      <c r="K13" s="16"/>
      <c r="L13" s="16"/>
      <c r="M13" s="16"/>
      <c r="N13" s="16"/>
      <c r="O13" s="16"/>
    </row>
    <row r="14" customFormat="false" ht="15" hidden="false" customHeight="true" outlineLevel="0" collapsed="false">
      <c r="A14" s="8" t="s">
        <v>34</v>
      </c>
      <c r="B14" s="14" t="n">
        <v>0.2</v>
      </c>
      <c r="C14" s="10" t="s">
        <v>35</v>
      </c>
      <c r="E14" s="11" t="n">
        <v>1300</v>
      </c>
      <c r="F14" s="11"/>
      <c r="H14" s="12" t="n">
        <v>0.24</v>
      </c>
      <c r="I14" s="11"/>
      <c r="K14" s="16"/>
      <c r="L14" s="16"/>
      <c r="M14" s="16"/>
      <c r="N14" s="16"/>
      <c r="O14" s="16"/>
    </row>
    <row r="15" customFormat="false" ht="15" hidden="false" customHeight="true" outlineLevel="0" collapsed="false">
      <c r="A15" s="8" t="s">
        <v>36</v>
      </c>
      <c r="B15" s="9" t="n">
        <v>30000000</v>
      </c>
      <c r="C15" s="10" t="s">
        <v>31</v>
      </c>
      <c r="E15" s="11" t="n">
        <v>1350</v>
      </c>
      <c r="F15" s="11"/>
    </row>
    <row r="16" customFormat="false" ht="15" hidden="false" customHeight="true" outlineLevel="0" collapsed="false">
      <c r="A16" s="8" t="s">
        <v>37</v>
      </c>
      <c r="B16" s="14" t="n">
        <v>0.15</v>
      </c>
      <c r="C16" s="10" t="s">
        <v>35</v>
      </c>
      <c r="E16" s="11" t="n">
        <v>1400</v>
      </c>
      <c r="F16" s="11"/>
      <c r="H16" s="16" t="s">
        <v>38</v>
      </c>
      <c r="I16" s="16"/>
    </row>
    <row r="17" customFormat="false" ht="15" hidden="false" customHeight="true" outlineLevel="0" collapsed="false">
      <c r="E17" s="11" t="n">
        <v>1450</v>
      </c>
      <c r="F17" s="11"/>
      <c r="H17" s="16"/>
      <c r="I17" s="16"/>
    </row>
    <row r="18" customFormat="false" ht="15" hidden="false" customHeight="true" outlineLevel="0" collapsed="false">
      <c r="A18" s="5" t="s">
        <v>39</v>
      </c>
      <c r="B18" s="5" t="s">
        <v>7</v>
      </c>
      <c r="C18" s="5" t="s">
        <v>40</v>
      </c>
      <c r="E18" s="11" t="n">
        <v>1500</v>
      </c>
      <c r="F18" s="11"/>
      <c r="H18" s="16"/>
      <c r="I18" s="16"/>
    </row>
    <row r="19" customFormat="false" ht="15" hidden="false" customHeight="true" outlineLevel="0" collapsed="false">
      <c r="A19" s="0" t="s">
        <v>41</v>
      </c>
      <c r="B19" s="17" t="n">
        <f aca="false">Модель!$B$5</f>
        <v>39602573.968576</v>
      </c>
      <c r="C19" s="0" t="s">
        <v>42</v>
      </c>
    </row>
    <row r="20" customFormat="false" ht="15" hidden="false" customHeight="true" outlineLevel="0" collapsed="false">
      <c r="A20" s="0" t="s">
        <v>43</v>
      </c>
      <c r="C20" s="0" t="s">
        <v>44</v>
      </c>
      <c r="E20" s="16" t="s">
        <v>45</v>
      </c>
      <c r="F20" s="16"/>
    </row>
    <row r="21" customFormat="false" ht="15" hidden="false" customHeight="false" outlineLevel="0" collapsed="false">
      <c r="E21" s="16"/>
      <c r="F21" s="16"/>
    </row>
    <row r="23" customFormat="false" ht="15" hidden="false" customHeight="true" outlineLevel="0" collapsed="false">
      <c r="E23" s="3" t="s">
        <v>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26.25" hidden="false" customHeight="true" outlineLevel="0" collapsed="false">
      <c r="E24" s="7" t="s">
        <v>18</v>
      </c>
      <c r="F24" s="18" t="n">
        <f aca="false">Модель!$B$5</f>
        <v>39602573.968576</v>
      </c>
      <c r="H24" s="7" t="s">
        <v>21</v>
      </c>
      <c r="I24" s="18" t="n">
        <f aca="false">Модель!$B$5</f>
        <v>39602573.968576</v>
      </c>
      <c r="K24" s="7" t="s">
        <v>24</v>
      </c>
      <c r="L24" s="18" t="n">
        <f aca="false">Модель!$B$5</f>
        <v>39602573.968576</v>
      </c>
      <c r="N24" s="7" t="s">
        <v>26</v>
      </c>
      <c r="O24" s="18" t="n">
        <f aca="false">Модель!$B$5</f>
        <v>39602573.968576</v>
      </c>
      <c r="Q24" s="7" t="s">
        <v>28</v>
      </c>
      <c r="R24" s="18" t="n">
        <f aca="false">Модель!$B$5</f>
        <v>39602573.968576</v>
      </c>
      <c r="T24" s="7" t="s">
        <v>37</v>
      </c>
      <c r="U24" s="18" t="n">
        <f aca="false">Модель!$B$5</f>
        <v>39602573.968576</v>
      </c>
    </row>
    <row r="25" customFormat="false" ht="15" hidden="false" customHeight="true" outlineLevel="0" collapsed="false">
      <c r="E25" s="11" t="n">
        <v>1080</v>
      </c>
      <c r="F25" s="11"/>
      <c r="H25" s="11" t="n">
        <v>72000</v>
      </c>
      <c r="I25" s="11"/>
      <c r="K25" s="11" t="n">
        <v>630</v>
      </c>
      <c r="L25" s="11"/>
      <c r="N25" s="11" t="n">
        <v>16200000</v>
      </c>
      <c r="O25" s="11"/>
      <c r="Q25" s="11" t="n">
        <v>27000000</v>
      </c>
      <c r="R25" s="11"/>
      <c r="T25" s="12" t="n">
        <v>0.13</v>
      </c>
      <c r="U25" s="11"/>
    </row>
    <row r="26" customFormat="false" ht="15" hidden="false" customHeight="true" outlineLevel="0" collapsed="false">
      <c r="E26" s="11" t="n">
        <v>1200</v>
      </c>
      <c r="F26" s="11"/>
      <c r="H26" s="11" t="n">
        <v>80000</v>
      </c>
      <c r="I26" s="11"/>
      <c r="K26" s="11" t="n">
        <v>700</v>
      </c>
      <c r="L26" s="11"/>
      <c r="N26" s="11" t="n">
        <v>18000000</v>
      </c>
      <c r="O26" s="11"/>
      <c r="Q26" s="11" t="n">
        <v>30000000</v>
      </c>
      <c r="R26" s="11"/>
      <c r="T26" s="12" t="n">
        <v>0.15</v>
      </c>
      <c r="U26" s="11"/>
    </row>
    <row r="27" customFormat="false" ht="15" hidden="false" customHeight="true" outlineLevel="0" collapsed="false">
      <c r="E27" s="11" t="n">
        <v>1320</v>
      </c>
      <c r="F27" s="11"/>
      <c r="H27" s="11" t="n">
        <v>88000</v>
      </c>
      <c r="I27" s="11"/>
      <c r="K27" s="11" t="n">
        <v>770</v>
      </c>
      <c r="L27" s="11"/>
      <c r="N27" s="11" t="n">
        <v>19800000</v>
      </c>
      <c r="O27" s="11"/>
      <c r="Q27" s="11" t="n">
        <v>33000000</v>
      </c>
      <c r="R27" s="11"/>
      <c r="T27" s="12" t="n">
        <v>0.17</v>
      </c>
      <c r="U27" s="11"/>
    </row>
    <row r="29" customFormat="false" ht="15" hidden="false" customHeight="true" outlineLevel="0" collapsed="false">
      <c r="E29" s="16" t="s">
        <v>47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customFormat="false" ht="15" hidden="false" customHeight="false" outlineLevel="0" collapsed="false"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customFormat="false" ht="15" hidden="false" customHeight="false" outlineLevel="0" collapsed="false"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</sheetData>
  <mergeCells count="11">
    <mergeCell ref="A1:U1"/>
    <mergeCell ref="A2:U2"/>
    <mergeCell ref="A4:C4"/>
    <mergeCell ref="E4:F4"/>
    <mergeCell ref="H4:I4"/>
    <mergeCell ref="K4:O4"/>
    <mergeCell ref="K12:O14"/>
    <mergeCell ref="H16:I18"/>
    <mergeCell ref="E20:F21"/>
    <mergeCell ref="E23:U23"/>
    <mergeCell ref="E29:U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7" min="2" style="0" width="15"/>
  </cols>
  <sheetData>
    <row r="1" customFormat="false" ht="16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26.25" hidden="false" customHeight="true" outlineLevel="0" collapsed="false">
      <c r="A2" s="19" t="s">
        <v>49</v>
      </c>
      <c r="B2" s="19"/>
      <c r="C2" s="19"/>
      <c r="D2" s="19"/>
      <c r="E2" s="19"/>
      <c r="F2" s="19"/>
      <c r="G2" s="19"/>
    </row>
    <row r="4" customFormat="false" ht="15" hidden="false" customHeight="true" outlineLevel="0" collapsed="false">
      <c r="A4" s="5" t="s">
        <v>50</v>
      </c>
      <c r="B4" s="5" t="s">
        <v>7</v>
      </c>
    </row>
    <row r="5" customFormat="false" ht="15" hidden="false" customHeight="true" outlineLevel="0" collapsed="false">
      <c r="A5" s="0" t="s">
        <v>51</v>
      </c>
      <c r="B5" s="20" t="n">
        <f aca="false">SUM(B19:G19)</f>
        <v>39602573.968576</v>
      </c>
    </row>
    <row r="6" customFormat="false" ht="15" hidden="false" customHeight="true" outlineLevel="0" collapsed="false">
      <c r="A6" s="0" t="s">
        <v>52</v>
      </c>
      <c r="B6" s="21" t="n">
        <f aca="false">Предпосылки!$B$16</f>
        <v>0.15</v>
      </c>
    </row>
    <row r="8" customFormat="false" ht="15" hidden="false" customHeight="true" outlineLevel="0" collapsed="false">
      <c r="A8" s="22" t="s">
        <v>11</v>
      </c>
      <c r="B8" s="22" t="s">
        <v>53</v>
      </c>
      <c r="C8" s="22" t="s">
        <v>54</v>
      </c>
      <c r="D8" s="22" t="s">
        <v>55</v>
      </c>
      <c r="E8" s="22" t="s">
        <v>56</v>
      </c>
      <c r="F8" s="22" t="s">
        <v>57</v>
      </c>
      <c r="G8" s="22" t="s">
        <v>58</v>
      </c>
    </row>
    <row r="9" customFormat="false" ht="15" hidden="false" customHeight="true" outlineLevel="0" collapsed="false">
      <c r="A9" s="8" t="s">
        <v>59</v>
      </c>
      <c r="B9" s="11" t="n">
        <v>0</v>
      </c>
      <c r="C9" s="17" t="n">
        <f aca="false">Предпосылки!$B$6</f>
        <v>80000</v>
      </c>
      <c r="D9" s="11" t="n">
        <f aca="false">C9*(1+Предпосылки!$B$8)</f>
        <v>83200</v>
      </c>
      <c r="E9" s="11" t="n">
        <f aca="false">D9*(1+Предпосылки!$B$8)</f>
        <v>86528</v>
      </c>
      <c r="F9" s="11" t="n">
        <f aca="false">E9*(1+Предпосылки!$B$8)</f>
        <v>89989.12</v>
      </c>
      <c r="G9" s="11" t="n">
        <f aca="false">F9*(1+Предпосылки!$B$8)</f>
        <v>93588.6848</v>
      </c>
    </row>
    <row r="10" customFormat="false" ht="15" hidden="false" customHeight="true" outlineLevel="0" collapsed="false">
      <c r="A10" s="8" t="s">
        <v>9</v>
      </c>
      <c r="B10" s="23" t="n">
        <v>0</v>
      </c>
      <c r="C10" s="24" t="n">
        <f aca="false">Предпосылки!$B$7</f>
        <v>1200</v>
      </c>
      <c r="D10" s="23" t="n">
        <f aca="false">C10*(1+Предпосылки!$B$9)</f>
        <v>1236</v>
      </c>
      <c r="E10" s="23" t="n">
        <f aca="false">D10*(1+Предпосылки!$B$9)</f>
        <v>1273.08</v>
      </c>
      <c r="F10" s="23" t="n">
        <f aca="false">E10*(1+Предпосылки!$B$9)</f>
        <v>1311.2724</v>
      </c>
      <c r="G10" s="23" t="n">
        <f aca="false">F10*(1+Предпосылки!$B$9)</f>
        <v>1350.610572</v>
      </c>
    </row>
    <row r="11" customFormat="false" ht="15" hidden="false" customHeight="true" outlineLevel="0" collapsed="false">
      <c r="A11" s="8" t="s">
        <v>60</v>
      </c>
      <c r="B11" s="11" t="n">
        <v>0</v>
      </c>
      <c r="C11" s="11" t="n">
        <f aca="false">C9*C10</f>
        <v>96000000</v>
      </c>
      <c r="D11" s="11" t="n">
        <f aca="false">D9*D10</f>
        <v>102835200</v>
      </c>
      <c r="E11" s="11" t="n">
        <f aca="false">E9*E10</f>
        <v>110157066.24</v>
      </c>
      <c r="F11" s="11" t="n">
        <f aca="false">F9*F10</f>
        <v>118000249.356288</v>
      </c>
      <c r="G11" s="11" t="n">
        <f aca="false">G9*G10</f>
        <v>126401867.110456</v>
      </c>
    </row>
    <row r="12" customFormat="false" ht="15" hidden="false" customHeight="true" outlineLevel="0" collapsed="false">
      <c r="A12" s="8" t="s">
        <v>61</v>
      </c>
      <c r="B12" s="23" t="n">
        <v>0</v>
      </c>
      <c r="C12" s="24" t="n">
        <f aca="false">Предпосылки!$B$10</f>
        <v>700</v>
      </c>
      <c r="D12" s="23" t="n">
        <f aca="false">C12*(1+Предпосылки!$B$11)</f>
        <v>721</v>
      </c>
      <c r="E12" s="23" t="n">
        <f aca="false">D12*(1+Предпосылки!$B$11)</f>
        <v>742.63</v>
      </c>
      <c r="F12" s="23" t="n">
        <f aca="false">E12*(1+Предпосылки!$B$11)</f>
        <v>764.9089</v>
      </c>
      <c r="G12" s="23" t="n">
        <f aca="false">F12*(1+Предпосылки!$B$11)</f>
        <v>787.856167</v>
      </c>
    </row>
    <row r="13" customFormat="false" ht="15" hidden="false" customHeight="true" outlineLevel="0" collapsed="false">
      <c r="A13" s="8" t="s">
        <v>62</v>
      </c>
      <c r="B13" s="11" t="n">
        <v>0</v>
      </c>
      <c r="C13" s="11" t="n">
        <f aca="false">C9*C12</f>
        <v>56000000</v>
      </c>
      <c r="D13" s="11" t="n">
        <f aca="false">D9*D12</f>
        <v>59987200</v>
      </c>
      <c r="E13" s="11" t="n">
        <f aca="false">E9*E12</f>
        <v>64258288.64</v>
      </c>
      <c r="F13" s="11" t="n">
        <f aca="false">F9*F12</f>
        <v>68833478.791168</v>
      </c>
      <c r="G13" s="11" t="n">
        <f aca="false">G9*G12</f>
        <v>73734422.4810992</v>
      </c>
    </row>
    <row r="14" customFormat="false" ht="15" hidden="false" customHeight="true" outlineLevel="0" collapsed="false">
      <c r="A14" s="8" t="s">
        <v>63</v>
      </c>
      <c r="B14" s="11" t="n">
        <v>0</v>
      </c>
      <c r="C14" s="17" t="n">
        <f aca="false">Предпосылки!$B$12</f>
        <v>18000000</v>
      </c>
      <c r="D14" s="11" t="n">
        <f aca="false">C14*(1+Предпосылки!$B$13)</f>
        <v>18720000</v>
      </c>
      <c r="E14" s="11" t="n">
        <f aca="false">D14*(1+Предпосылки!$B$13)</f>
        <v>19468800</v>
      </c>
      <c r="F14" s="11" t="n">
        <f aca="false">E14*(1+Предпосылки!$B$13)</f>
        <v>20247552</v>
      </c>
      <c r="G14" s="11" t="n">
        <f aca="false">F14*(1+Предпосылки!$B$13)</f>
        <v>21057454.08</v>
      </c>
    </row>
    <row r="15" customFormat="false" ht="15" hidden="false" customHeight="true" outlineLevel="0" collapsed="false">
      <c r="A15" s="8" t="s">
        <v>64</v>
      </c>
      <c r="B15" s="11" t="n">
        <v>0</v>
      </c>
      <c r="C15" s="11" t="n">
        <f aca="false">C11-C13-C14</f>
        <v>22000000</v>
      </c>
      <c r="D15" s="11" t="n">
        <f aca="false">D11-D13-D14</f>
        <v>24128000</v>
      </c>
      <c r="E15" s="11" t="n">
        <f aca="false">E11-E13-E14</f>
        <v>26429977.6</v>
      </c>
      <c r="F15" s="11" t="n">
        <f aca="false">F11-F13-F14</f>
        <v>28919218.56512</v>
      </c>
      <c r="G15" s="11" t="n">
        <f aca="false">G11-G13-G14</f>
        <v>31609990.5493566</v>
      </c>
    </row>
    <row r="16" customFormat="false" ht="15" hidden="false" customHeight="true" outlineLevel="0" collapsed="false">
      <c r="A16" s="8" t="s">
        <v>65</v>
      </c>
      <c r="B16" s="11" t="n">
        <v>0</v>
      </c>
      <c r="C16" s="11" t="n">
        <f aca="false">MAX(C15,0)*Предпосылки!$B$14</f>
        <v>4400000</v>
      </c>
      <c r="D16" s="11" t="n">
        <f aca="false">MAX(D15,0)*Предпосылки!$B$14</f>
        <v>4825600</v>
      </c>
      <c r="E16" s="11" t="n">
        <f aca="false">MAX(E15,0)*Предпосылки!$B$14</f>
        <v>5285995.52</v>
      </c>
      <c r="F16" s="11" t="n">
        <f aca="false">MAX(F15,0)*Предпосылки!$B$14</f>
        <v>5783843.713024</v>
      </c>
      <c r="G16" s="11" t="n">
        <f aca="false">MAX(G15,0)*Предпосылки!$B$14</f>
        <v>6321998.10987131</v>
      </c>
    </row>
    <row r="17" customFormat="false" ht="15" hidden="false" customHeight="true" outlineLevel="0" collapsed="false">
      <c r="A17" s="25" t="s">
        <v>66</v>
      </c>
      <c r="B17" s="26" t="n">
        <f aca="false">-Предпосылки!$B$15</f>
        <v>-30000000</v>
      </c>
      <c r="C17" s="27" t="n">
        <f aca="false">C15-C16</f>
        <v>17600000</v>
      </c>
      <c r="D17" s="27" t="n">
        <f aca="false">D15-D16</f>
        <v>19302400</v>
      </c>
      <c r="E17" s="27" t="n">
        <f aca="false">E15-E16</f>
        <v>21143982.08</v>
      </c>
      <c r="F17" s="27" t="n">
        <f aca="false">F15-F16</f>
        <v>23135374.852096</v>
      </c>
      <c r="G17" s="27" t="n">
        <f aca="false">G15-G16</f>
        <v>25287992.4394853</v>
      </c>
    </row>
    <row r="18" customFormat="false" ht="15" hidden="false" customHeight="true" outlineLevel="0" collapsed="false">
      <c r="A18" s="8" t="s">
        <v>67</v>
      </c>
      <c r="B18" s="28" t="n">
        <v>1</v>
      </c>
      <c r="C18" s="29" t="n">
        <f aca="false">1/(1+Предпосылки!$B$16)^1</f>
        <v>0.869565217391304</v>
      </c>
      <c r="D18" s="29" t="n">
        <f aca="false">1/(1+Предпосылки!$B$16)^2</f>
        <v>0.756143667296787</v>
      </c>
      <c r="E18" s="29" t="n">
        <f aca="false">1/(1+Предпосылки!$B$16)^3</f>
        <v>0.657516232431988</v>
      </c>
      <c r="F18" s="29" t="n">
        <f aca="false">1/(1+Предпосылки!$B$16)^4</f>
        <v>0.571753245593033</v>
      </c>
      <c r="G18" s="29" t="n">
        <f aca="false">1/(1+Предпосылки!$B$16)^5</f>
        <v>0.49717673529829</v>
      </c>
    </row>
    <row r="19" customFormat="false" ht="15" hidden="false" customHeight="true" outlineLevel="0" collapsed="false">
      <c r="A19" s="30" t="s">
        <v>68</v>
      </c>
      <c r="B19" s="31" t="n">
        <f aca="false">B17*B18</f>
        <v>-30000000</v>
      </c>
      <c r="C19" s="31" t="n">
        <f aca="false">C17*C18</f>
        <v>15304347.826087</v>
      </c>
      <c r="D19" s="31" t="n">
        <f aca="false">D17*D18</f>
        <v>14595387.5236295</v>
      </c>
      <c r="E19" s="31" t="n">
        <f aca="false">E17*E18</f>
        <v>13902511.4358511</v>
      </c>
      <c r="F19" s="31" t="n">
        <f aca="false">F17*F18</f>
        <v>13227725.6596973</v>
      </c>
      <c r="G19" s="31" t="n">
        <f aca="false">G17*G18</f>
        <v>12572601.5233111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7" min="2" style="0" width="17"/>
    <col collapsed="false" customWidth="true" hidden="false" outlineLevel="0" max="8" min="8" style="0" width="11"/>
  </cols>
  <sheetData>
    <row r="1" customFormat="false" ht="16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19" t="s">
        <v>70</v>
      </c>
      <c r="B2" s="19"/>
      <c r="C2" s="19"/>
      <c r="D2" s="19"/>
      <c r="E2" s="19"/>
      <c r="F2" s="19"/>
      <c r="G2" s="19"/>
      <c r="H2" s="19"/>
      <c r="I2" s="19"/>
      <c r="J2" s="19"/>
    </row>
    <row r="4" customFormat="false" ht="15" hidden="false" customHeight="true" outlineLevel="0" collapsed="false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</row>
    <row r="5" customFormat="false" ht="15" hidden="false" customHeight="true" outlineLevel="0" collapsed="false">
      <c r="A5" s="10" t="s">
        <v>18</v>
      </c>
      <c r="B5" s="11" t="str">
        <f aca="false">IF(Предпосылки!F25="","",Предпосылки!F25)</f>
        <v/>
      </c>
      <c r="C5" s="11" t="str">
        <f aca="false">IF(Предпосылки!F26="","",Предпосылки!F26)</f>
        <v/>
      </c>
      <c r="D5" s="11" t="str">
        <f aca="false">IF(Предпосылки!F27="","",Предпосылки!F27)</f>
        <v/>
      </c>
      <c r="E5" s="11" t="str">
        <f aca="false">IF(B5="","",B5-Модель!$B$5)</f>
        <v/>
      </c>
      <c r="F5" s="11" t="str">
        <f aca="false">IF(D5="","",D5-Модель!$B$5)</f>
        <v/>
      </c>
      <c r="G5" s="11" t="str">
        <f aca="false">IF(E5="","",MAX(ABS(E5),ABS(F5)))</f>
        <v/>
      </c>
      <c r="H5" s="32"/>
    </row>
    <row r="6" customFormat="false" ht="15" hidden="false" customHeight="true" outlineLevel="0" collapsed="false">
      <c r="A6" s="10" t="s">
        <v>21</v>
      </c>
      <c r="B6" s="11" t="str">
        <f aca="false">IF(Предпосылки!I25="","",Предпосылки!I25)</f>
        <v/>
      </c>
      <c r="C6" s="11" t="str">
        <f aca="false">IF(Предпосылки!I26="","",Предпосылки!I26)</f>
        <v/>
      </c>
      <c r="D6" s="11" t="str">
        <f aca="false">IF(Предпосылки!I27="","",Предпосылки!I27)</f>
        <v/>
      </c>
      <c r="E6" s="11" t="str">
        <f aca="false">IF(B6="","",B6-Модель!$B$5)</f>
        <v/>
      </c>
      <c r="F6" s="11" t="str">
        <f aca="false">IF(D6="","",D6-Модель!$B$5)</f>
        <v/>
      </c>
      <c r="G6" s="11" t="str">
        <f aca="false">IF(E6="","",MAX(ABS(E6),ABS(F6)))</f>
        <v/>
      </c>
      <c r="H6" s="32"/>
    </row>
    <row r="7" customFormat="false" ht="15" hidden="false" customHeight="true" outlineLevel="0" collapsed="false">
      <c r="A7" s="10" t="s">
        <v>24</v>
      </c>
      <c r="B7" s="11" t="str">
        <f aca="false">IF(Предпосылки!L25="","",Предпосылки!L25)</f>
        <v/>
      </c>
      <c r="C7" s="11" t="str">
        <f aca="false">IF(Предпосылки!L26="","",Предпосылки!L26)</f>
        <v/>
      </c>
      <c r="D7" s="11" t="str">
        <f aca="false">IF(Предпосылки!L27="","",Предпосылки!L27)</f>
        <v/>
      </c>
      <c r="E7" s="11" t="str">
        <f aca="false">IF(B7="","",B7-Модель!$B$5)</f>
        <v/>
      </c>
      <c r="F7" s="11" t="str">
        <f aca="false">IF(D7="","",D7-Модель!$B$5)</f>
        <v/>
      </c>
      <c r="G7" s="11" t="str">
        <f aca="false">IF(E7="","",MAX(ABS(E7),ABS(F7)))</f>
        <v/>
      </c>
      <c r="H7" s="32"/>
    </row>
    <row r="8" customFormat="false" ht="15" hidden="false" customHeight="true" outlineLevel="0" collapsed="false">
      <c r="A8" s="10" t="s">
        <v>26</v>
      </c>
      <c r="B8" s="11" t="str">
        <f aca="false">IF(Предпосылки!O25="","",Предпосылки!O25)</f>
        <v/>
      </c>
      <c r="C8" s="11" t="str">
        <f aca="false">IF(Предпосылки!O26="","",Предпосылки!O26)</f>
        <v/>
      </c>
      <c r="D8" s="11" t="str">
        <f aca="false">IF(Предпосылки!O27="","",Предпосылки!O27)</f>
        <v/>
      </c>
      <c r="E8" s="11" t="str">
        <f aca="false">IF(B8="","",B8-Модель!$B$5)</f>
        <v/>
      </c>
      <c r="F8" s="11" t="str">
        <f aca="false">IF(D8="","",D8-Модель!$B$5)</f>
        <v/>
      </c>
      <c r="G8" s="11" t="str">
        <f aca="false">IF(E8="","",MAX(ABS(E8),ABS(F8)))</f>
        <v/>
      </c>
      <c r="H8" s="32"/>
    </row>
    <row r="9" customFormat="false" ht="15" hidden="false" customHeight="true" outlineLevel="0" collapsed="false">
      <c r="A9" s="10" t="s">
        <v>28</v>
      </c>
      <c r="B9" s="11" t="str">
        <f aca="false">IF(Предпосылки!R25="","",Предпосылки!R25)</f>
        <v/>
      </c>
      <c r="C9" s="11" t="str">
        <f aca="false">IF(Предпосылки!R26="","",Предпосылки!R26)</f>
        <v/>
      </c>
      <c r="D9" s="11" t="str">
        <f aca="false">IF(Предпосылки!R27="","",Предпосылки!R27)</f>
        <v/>
      </c>
      <c r="E9" s="11" t="str">
        <f aca="false">IF(B9="","",B9-Модель!$B$5)</f>
        <v/>
      </c>
      <c r="F9" s="11" t="str">
        <f aca="false">IF(D9="","",D9-Модель!$B$5)</f>
        <v/>
      </c>
      <c r="G9" s="11" t="str">
        <f aca="false">IF(E9="","",MAX(ABS(E9),ABS(F9)))</f>
        <v/>
      </c>
      <c r="H9" s="32"/>
    </row>
    <row r="10" customFormat="false" ht="15" hidden="false" customHeight="true" outlineLevel="0" collapsed="false">
      <c r="A10" s="10" t="s">
        <v>37</v>
      </c>
      <c r="B10" s="11" t="str">
        <f aca="false">IF(Предпосылки!U25="","",Предпосылки!U25)</f>
        <v/>
      </c>
      <c r="C10" s="11" t="str">
        <f aca="false">IF(Предпосылки!U26="","",Предпосылки!U26)</f>
        <v/>
      </c>
      <c r="D10" s="11" t="str">
        <f aca="false">IF(Предпосылки!U27="","",Предпосылки!U27)</f>
        <v/>
      </c>
      <c r="E10" s="11" t="str">
        <f aca="false">IF(B10="","",B10-Модель!$B$5)</f>
        <v/>
      </c>
      <c r="F10" s="11" t="str">
        <f aca="false">IF(D10="","",D10-Модель!$B$5)</f>
        <v/>
      </c>
      <c r="G10" s="11" t="str">
        <f aca="false">IF(E10="","",MAX(ABS(E10),ABS(F10)))</f>
        <v/>
      </c>
      <c r="H10" s="32"/>
    </row>
    <row r="12" customFormat="false" ht="15" hidden="false" customHeight="true" outlineLevel="0" collapsed="false">
      <c r="A12" s="19" t="s">
        <v>79</v>
      </c>
      <c r="B12" s="19"/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</row>
  </sheetData>
  <mergeCells count="3">
    <mergeCell ref="A1:J1"/>
    <mergeCell ref="A2:J2"/>
    <mergeCell ref="A12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31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38"/>
  </cols>
  <sheetData>
    <row r="1" customFormat="false" ht="16.5" hidden="false" customHeight="true" outlineLevel="0" collapsed="false">
      <c r="A1" s="1" t="s">
        <v>80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9" t="s">
        <v>81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33" t="s">
        <v>82</v>
      </c>
      <c r="B4" s="33" t="s">
        <v>83</v>
      </c>
      <c r="C4" s="33" t="s">
        <v>84</v>
      </c>
      <c r="D4" s="33" t="s">
        <v>85</v>
      </c>
      <c r="E4" s="33" t="s">
        <v>86</v>
      </c>
      <c r="F4" s="33" t="s">
        <v>87</v>
      </c>
    </row>
    <row r="5" customFormat="false" ht="26.25" hidden="false" customHeight="true" outlineLevel="0" collapsed="false">
      <c r="A5" s="8" t="n">
        <v>1</v>
      </c>
      <c r="B5" s="8" t="s">
        <v>88</v>
      </c>
      <c r="C5" s="8" t="s">
        <v>89</v>
      </c>
      <c r="D5" s="8"/>
      <c r="E5" s="34"/>
      <c r="F5" s="8" t="s">
        <v>90</v>
      </c>
    </row>
    <row r="6" customFormat="false" ht="26.25" hidden="false" customHeight="true" outlineLevel="0" collapsed="false">
      <c r="A6" s="8" t="n">
        <v>2</v>
      </c>
      <c r="B6" s="8" t="s">
        <v>91</v>
      </c>
      <c r="C6" s="8" t="s">
        <v>92</v>
      </c>
      <c r="D6" s="8"/>
      <c r="E6" s="34"/>
      <c r="F6" s="8" t="s">
        <v>93</v>
      </c>
    </row>
    <row r="7" customFormat="false" ht="26.25" hidden="false" customHeight="true" outlineLevel="0" collapsed="false">
      <c r="A7" s="8" t="n">
        <v>3</v>
      </c>
      <c r="B7" s="8" t="s">
        <v>94</v>
      </c>
      <c r="C7" s="8" t="s">
        <v>95</v>
      </c>
      <c r="D7" s="8"/>
      <c r="E7" s="34"/>
      <c r="F7" s="8" t="s">
        <v>96</v>
      </c>
    </row>
    <row r="8" customFormat="false" ht="26.25" hidden="false" customHeight="true" outlineLevel="0" collapsed="false">
      <c r="A8" s="8" t="n">
        <v>4</v>
      </c>
      <c r="B8" s="8" t="s">
        <v>97</v>
      </c>
      <c r="C8" s="8" t="s">
        <v>98</v>
      </c>
      <c r="D8" s="8"/>
      <c r="E8" s="34"/>
      <c r="F8" s="8" t="s">
        <v>99</v>
      </c>
    </row>
    <row r="9" customFormat="false" ht="26.25" hidden="false" customHeight="true" outlineLevel="0" collapsed="false">
      <c r="A9" s="8" t="n">
        <v>5</v>
      </c>
      <c r="B9" s="8" t="s">
        <v>100</v>
      </c>
      <c r="C9" s="8" t="s">
        <v>101</v>
      </c>
      <c r="D9" s="8"/>
      <c r="E9" s="34"/>
      <c r="F9" s="8" t="s">
        <v>102</v>
      </c>
    </row>
    <row r="10" customFormat="false" ht="26.25" hidden="false" customHeight="true" outlineLevel="0" collapsed="false">
      <c r="A10" s="8" t="n">
        <v>6</v>
      </c>
      <c r="B10" s="8" t="s">
        <v>103</v>
      </c>
      <c r="C10" s="8" t="s">
        <v>104</v>
      </c>
      <c r="D10" s="8"/>
      <c r="E10" s="34"/>
      <c r="F10" s="8" t="s">
        <v>105</v>
      </c>
    </row>
    <row r="11" customFormat="false" ht="26.25" hidden="false" customHeight="true" outlineLevel="0" collapsed="false">
      <c r="A11" s="8" t="n">
        <v>7</v>
      </c>
      <c r="B11" s="8" t="s">
        <v>106</v>
      </c>
      <c r="C11" s="8" t="s">
        <v>107</v>
      </c>
      <c r="D11" s="8"/>
      <c r="E11" s="34"/>
      <c r="F11" s="8" t="s">
        <v>108</v>
      </c>
    </row>
    <row r="12" customFormat="false" ht="26.25" hidden="false" customHeight="true" outlineLevel="0" collapsed="false">
      <c r="A12" s="8" t="n">
        <v>8</v>
      </c>
      <c r="B12" s="8" t="s">
        <v>109</v>
      </c>
      <c r="C12" s="8" t="s">
        <v>110</v>
      </c>
      <c r="D12" s="8"/>
      <c r="E12" s="34"/>
      <c r="F12" s="8" t="s">
        <v>111</v>
      </c>
    </row>
    <row r="13" customFormat="false" ht="39" hidden="false" customHeight="true" outlineLevel="0" collapsed="false">
      <c r="A13" s="8" t="n">
        <v>9</v>
      </c>
      <c r="B13" s="8" t="s">
        <v>112</v>
      </c>
      <c r="C13" s="8" t="s">
        <v>113</v>
      </c>
      <c r="D13" s="8"/>
      <c r="E13" s="34"/>
      <c r="F13" s="8" t="s">
        <v>114</v>
      </c>
    </row>
    <row r="14" customFormat="false" ht="26.25" hidden="false" customHeight="true" outlineLevel="0" collapsed="false">
      <c r="A14" s="8" t="n">
        <v>10</v>
      </c>
      <c r="B14" s="8" t="s">
        <v>115</v>
      </c>
      <c r="C14" s="8" t="s">
        <v>116</v>
      </c>
      <c r="D14" s="8"/>
      <c r="E14" s="34"/>
      <c r="F14" s="8" t="s">
        <v>117</v>
      </c>
    </row>
  </sheetData>
  <mergeCells count="2">
    <mergeCell ref="A1:F1"/>
    <mergeCell ref="A2:F2"/>
  </mergeCells>
  <dataValidations count="1">
    <dataValidation allowBlank="false" errorStyle="stop" operator="between" showDropDown="false" showErrorMessage="false" showInputMessage="false" sqref="E5:E14" type="list">
      <formula1>"Не начато,В работе,Готово"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2026-10-09T17:27:02Z</dcterms:created>
  <dc:creator>openpyxl</dc:creator>
  <dc:description/>
  <dc:language>en-US</dc:language>
  <cp:lastModifiedBy/>
  <dcterms:modified xsi:type="dcterms:W3CDTF">2026-10-09T17:27:02Z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