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b3a6e9be2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" sheetId="1" r:id="R39da68b8722a4f05"/>
    <x:sheet xmlns:r="http://schemas.openxmlformats.org/officeDocument/2006/relationships" name="StressCases" sheetId="2" r:id="R90cdb0a159464d40"/>
    <x:sheet xmlns:r="http://schemas.openxmlformats.org/officeDocument/2006/relationships" name="Model" sheetId="3" r:id="R6a4dc92c7c2f4881"/>
    <x:sheet xmlns:r="http://schemas.openxmlformats.org/officeDocument/2006/relationships" name="KPI" sheetId="4" r:id="R4d652b5579994e50"/>
    <x:sheet xmlns:r="http://schemas.openxmlformats.org/officeDocument/2006/relationships" name="ReverseStress" sheetId="5" r:id="Rcb2fd7b5ede94326"/>
    <x:sheet xmlns:r="http://schemas.openxmlformats.org/officeDocument/2006/relationships" name="Задания" sheetId="6" r:id="R97abb6a1ce2a4f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#,##0.00;[Red](#,##0.00);-"/>
    <x:numFmt numFmtId="202" formatCode="0.00%"/>
    <x:numFmt numFmtId="203" formatCode="0.0000"/>
  </x:numFmts>
  <x:fonts count="11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  <x:font>
      <x:b/>
      <x:sz val="11"/>
      <x:color rgb="FF008000"/>
      <x:name val="Carlito"/>
    </x:font>
    <x:font>
      <x:i/>
      <x:sz val="11"/>
      <x:color rgb="FF9C000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200" fontId="4" fillId="0" borderId="6" xfId="0" applyNumberFormat="1" applyFont="1" applyFill="1" applyBorder="1"/>
    <x:xf numFmtId="0" fontId="0" fillId="0" borderId="7" xfId="0" applyNumberFormat="1" applyFont="1" applyFill="1" applyBorder="1"/>
    <x:xf numFmtId="201" fontId="4" fillId="0" borderId="6" xfId="0" applyNumberFormat="1" applyFont="1" applyFill="1" applyBorder="1"/>
    <x:xf numFmtId="0" fontId="0" fillId="0" borderId="8" xfId="0" applyNumberFormat="1" applyFont="1" applyFill="1" applyBorder="1"/>
    <x:xf numFmtId="202" fontId="4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200" fontId="4" fillId="0" borderId="15" xfId="0" applyNumberFormat="1" applyFont="1" applyFill="1" applyBorder="1"/>
    <x:xf numFmtId="0" fontId="0" fillId="0" borderId="16" xfId="0" applyNumberFormat="1" applyFont="1" applyFill="1" applyBorder="1"/>
    <x:xf numFmtId="201" fontId="4" fillId="0" borderId="15" xfId="0" applyNumberFormat="1" applyFont="1" applyFill="1" applyBorder="1"/>
    <x:xf numFmtId="0" fontId="0" fillId="0" borderId="17" xfId="0" applyNumberFormat="1" applyFont="1" applyFill="1" applyBorder="1"/>
    <x:xf numFmtId="202" fontId="4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/>
    <x:xf numFmtId="202" fontId="4" fillId="5" borderId="6" xfId="0" applyNumberFormat="1" applyFont="1" applyFill="1" applyBorder="1"/>
    <x:xf numFmtId="200" fontId="4" fillId="5" borderId="6" xfId="0" applyNumberFormat="1" applyFont="1" applyFill="1" applyBorder="1"/>
    <x:xf numFmtId="0" fontId="0" fillId="0" borderId="9" xfId="0" applyNumberFormat="1" applyFont="1" applyFill="1" applyBorder="1"/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/>
    <x:xf numFmtId="202" fontId="4" fillId="5" borderId="15" xfId="0" applyNumberFormat="1" applyFont="1" applyFill="1" applyBorder="1"/>
    <x:xf numFmtId="200" fontId="4" fillId="5" borderId="15" xfId="0" applyNumberFormat="1" applyFont="1" applyFill="1" applyBorder="1"/>
    <x:xf numFmtId="0" fontId="0" fillId="0" borderId="18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202" fontId="7" fillId="6" borderId="0" xfId="0" applyNumberFormat="1" applyFont="1" applyFill="1" applyBorder="1"/>
    <x:xf numFmtId="202" fontId="7" fillId="6" borderId="1" xfId="0" applyNumberFormat="1" applyFont="1" applyFill="1" applyBorder="1"/>
    <x:xf numFmtId="200" fontId="7" fillId="6" borderId="0" xfId="0" applyNumberFormat="1" applyFont="1" applyFill="1" applyBorder="1"/>
    <x:xf numFmtId="200" fontId="7" fillId="6" borderId="1" xfId="0" applyNumberFormat="1" applyFont="1" applyFill="1" applyBorder="1"/>
    <x:xf numFmtId="202" fontId="7" fillId="6" borderId="6" xfId="0" applyNumberFormat="1" applyFont="1" applyFill="1" applyBorder="1"/>
    <x:xf numFmtId="200" fontId="7" fillId="6" borderId="6" xfId="0" applyNumberFormat="1" applyFont="1" applyFill="1" applyBorder="1"/>
    <x:xf numFmtId="202" fontId="7" fillId="6" borderId="9" xfId="0" applyNumberFormat="1" applyFont="1" applyFill="1" applyBorder="1"/>
    <x:xf numFmtId="202" fontId="7" fillId="6" borderId="15" xfId="0" applyNumberFormat="1" applyFont="1" applyFill="1" applyBorder="1"/>
    <x:xf numFmtId="200" fontId="7" fillId="6" borderId="15" xfId="0" applyNumberFormat="1" applyFont="1" applyFill="1" applyBorder="1"/>
    <x:xf numFmtId="202" fontId="7" fillId="6" borderId="18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200" fontId="4" fillId="5" borderId="9" xfId="0" applyNumberFormat="1" applyFont="1" applyFill="1" applyBorder="1"/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200" fontId="4" fillId="5" borderId="18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0" fillId="0" borderId="0" xfId="0" applyNumberFormat="1" applyFont="1" applyFill="1" applyBorder="1"/>
    <x:xf numFmtId="201" fontId="7" fillId="0" borderId="1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7" borderId="3" xfId="0" applyNumberFormat="1" applyFont="1" applyFill="1" applyBorder="1" applyAlignment="1">
      <x:alignment horizontal="center"/>
    </x:xf>
    <x:xf numFmtId="0" fontId="3" fillId="8" borderId="3" xfId="0" applyNumberFormat="1" applyFont="1" applyFill="1" applyBorder="1" applyAlignment="1">
      <x:alignment horizontal="center"/>
    </x:xf>
    <x:xf numFmtId="0" fontId="3" fillId="8" borderId="4" xfId="0" applyNumberFormat="1" applyFont="1" applyFill="1" applyBorder="1" applyAlignment="1">
      <x:alignment horizontal="center"/>
    </x:xf>
    <x:xf numFmtId="0" fontId="8" fillId="2" borderId="5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horizontal="center"/>
    </x:xf>
    <x:xf numFmtId="0" fontId="8" fillId="2" borderId="7" xfId="0" applyNumberFormat="1" applyFont="1" applyFill="1" applyBorder="1" applyAlignment="1">
      <x:alignment horizontal="center"/>
    </x:xf>
    <x:xf numFmtId="200" fontId="7" fillId="0" borderId="6" xfId="0" applyNumberFormat="1" applyFont="1" applyFill="1" applyBorder="1"/>
    <x:xf numFmtId="200" fontId="0" fillId="0" borderId="7" xfId="0" applyNumberFormat="1" applyFont="1" applyFill="1" applyBorder="1"/>
    <x:xf numFmtId="201" fontId="7" fillId="0" borderId="6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203" fontId="0" fillId="0" borderId="6" xfId="0" applyNumberFormat="1" applyFont="1" applyFill="1" applyBorder="1"/>
    <x:xf numFmtId="203" fontId="0" fillId="0" borderId="7" xfId="0" applyNumberFormat="1" applyFont="1" applyFill="1" applyBorder="1"/>
    <x:xf numFmtId="200" fontId="0" fillId="0" borderId="10" xfId="0" applyNumberFormat="1" applyFont="1" applyFill="1" applyBorder="1"/>
    <x:xf numFmtId="0" fontId="3" fillId="7" borderId="12" xfId="0" applyNumberFormat="1" applyFont="1" applyFill="1" applyBorder="1" applyAlignment="1">
      <x:alignment horizontal="center"/>
    </x:xf>
    <x:xf numFmtId="0" fontId="3" fillId="8" borderId="12" xfId="0" applyNumberFormat="1" applyFont="1" applyFill="1" applyBorder="1" applyAlignment="1">
      <x:alignment horizontal="center"/>
    </x:xf>
    <x:xf numFmtId="0" fontId="3" fillId="8" borderId="13" xfId="0" applyNumberFormat="1" applyFont="1" applyFill="1" applyBorder="1" applyAlignment="1">
      <x:alignment horizontal="center"/>
    </x:xf>
    <x:xf numFmtId="0" fontId="8" fillId="2" borderId="14" xfId="0" applyNumberFormat="1" applyFont="1" applyFill="1" applyBorder="1" applyAlignment="1">
      <x:alignment horizontal="center"/>
    </x:xf>
    <x:xf numFmtId="0" fontId="8" fillId="2" borderId="15" xfId="0" applyNumberFormat="1" applyFont="1" applyFill="1" applyBorder="1" applyAlignment="1">
      <x:alignment horizontal="center"/>
    </x:xf>
    <x:xf numFmtId="0" fontId="8" fillId="2" borderId="16" xfId="0" applyNumberFormat="1" applyFont="1" applyFill="1" applyBorder="1" applyAlignment="1">
      <x:alignment horizontal="center"/>
    </x:xf>
    <x:xf numFmtId="200" fontId="7" fillId="0" borderId="15" xfId="0" applyNumberFormat="1" applyFont="1" applyFill="1" applyBorder="1"/>
    <x:xf numFmtId="200" fontId="0" fillId="0" borderId="16" xfId="0" applyNumberFormat="1" applyFont="1" applyFill="1" applyBorder="1"/>
    <x:xf numFmtId="201" fontId="7" fillId="0" borderId="15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203" fontId="0" fillId="0" borderId="15" xfId="0" applyNumberFormat="1" applyFont="1" applyFill="1" applyBorder="1"/>
    <x:xf numFmtId="203" fontId="0" fillId="0" borderId="16" xfId="0" applyNumberFormat="1" applyFont="1" applyFill="1" applyBorder="1"/>
    <x:xf numFmtId="200" fontId="0" fillId="0" borderId="19" xfId="0" applyNumberFormat="1" applyFont="1" applyFill="1" applyBorder="1"/>
    <x:xf numFmtId="0" fontId="0" fillId="6" borderId="5" xfId="0" applyNumberFormat="1" applyFont="1" applyFill="1" applyBorder="1"/>
    <x:xf numFmtId="200" fontId="0" fillId="6" borderId="6" xfId="0" applyNumberFormat="1" applyFont="1" applyFill="1" applyBorder="1"/>
    <x:xf numFmtId="200" fontId="0" fillId="6" borderId="7" xfId="0" applyNumberFormat="1" applyFont="1" applyFill="1" applyBorder="1"/>
    <x:xf numFmtId="0" fontId="3" fillId="6" borderId="5" xfId="0" applyNumberFormat="1" applyFont="1" applyFill="1" applyBorder="1"/>
    <x:xf numFmtId="200" fontId="3" fillId="6" borderId="6" xfId="0" applyNumberFormat="1" applyFont="1" applyFill="1" applyBorder="1"/>
    <x:xf numFmtId="200" fontId="3" fillId="6" borderId="7" xfId="0" applyNumberFormat="1" applyFont="1" applyFill="1" applyBorder="1"/>
    <x:xf numFmtId="0" fontId="0" fillId="6" borderId="14" xfId="0" applyNumberFormat="1" applyFont="1" applyFill="1" applyBorder="1"/>
    <x:xf numFmtId="200" fontId="0" fillId="6" borderId="15" xfId="0" applyNumberFormat="1" applyFont="1" applyFill="1" applyBorder="1"/>
    <x:xf numFmtId="200" fontId="0" fillId="6" borderId="16" xfId="0" applyNumberFormat="1" applyFont="1" applyFill="1" applyBorder="1"/>
    <x:xf numFmtId="0" fontId="3" fillId="6" borderId="14" xfId="0" applyNumberFormat="1" applyFont="1" applyFill="1" applyBorder="1"/>
    <x:xf numFmtId="200" fontId="3" fillId="6" borderId="15" xfId="0" applyNumberFormat="1" applyFont="1" applyFill="1" applyBorder="1"/>
    <x:xf numFmtId="200" fontId="3" fillId="6" borderId="16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200" fontId="0" fillId="9" borderId="9" xfId="0" applyNumberFormat="1" applyFont="1" applyFill="1" applyBorder="1"/>
    <x:xf numFmtId="200" fontId="0" fillId="9" borderId="10" xfId="0" applyNumberFormat="1" applyFont="1" applyFill="1" applyBorder="1"/>
    <x:xf numFmtId="0" fontId="3" fillId="9" borderId="8" xfId="0" applyNumberFormat="1" applyFont="1" applyFill="1" applyBorder="1"/>
    <x:xf numFmtId="0" fontId="3" fillId="9" borderId="9" xfId="0" applyNumberFormat="1" applyFont="1" applyFill="1" applyBorder="1"/>
    <x:xf numFmtId="200" fontId="3" fillId="9" borderId="9" xfId="0" applyNumberFormat="1" applyFont="1" applyFill="1" applyBorder="1"/>
    <x:xf numFmtId="200" fontId="3" fillId="9" borderId="10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200" fontId="0" fillId="9" borderId="18" xfId="0" applyNumberFormat="1" applyFont="1" applyFill="1" applyBorder="1"/>
    <x:xf numFmtId="200" fontId="0" fillId="9" borderId="19" xfId="0" applyNumberFormat="1" applyFont="1" applyFill="1" applyBorder="1"/>
    <x:xf numFmtId="0" fontId="3" fillId="9" borderId="17" xfId="0" applyNumberFormat="1" applyFont="1" applyFill="1" applyBorder="1"/>
    <x:xf numFmtId="0" fontId="3" fillId="9" borderId="18" xfId="0" applyNumberFormat="1" applyFont="1" applyFill="1" applyBorder="1"/>
    <x:xf numFmtId="200" fontId="3" fillId="9" borderId="18" xfId="0" applyNumberFormat="1" applyFont="1" applyFill="1" applyBorder="1"/>
    <x:xf numFmtId="200" fontId="3" fillId="9" borderId="19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6" xfId="0" applyNumberFormat="1" applyFont="1" applyFill="1" applyBorder="1"/>
    <x:xf numFmtId="0" fontId="9" fillId="5" borderId="15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4" xfId="0" applyNumberFormat="1" applyFont="1" applyFill="1" applyBorder="1" applyAlignment="1">
      <x:alignment horizontal="center" wrapText="1"/>
    </x:xf>
    <x:xf numFmtId="0" fontId="8" fillId="2" borderId="5" xfId="0" applyNumberFormat="1" applyFont="1" applyFill="1" applyBorder="1" applyAlignment="1">
      <x:alignment horizontal="center" wrapText="1"/>
    </x:xf>
    <x:xf numFmtId="0" fontId="8" fillId="2" borderId="6" xfId="0" applyNumberFormat="1" applyFont="1" applyFill="1" applyBorder="1" applyAlignment="1">
      <x:alignment horizontal="center" wrapText="1"/>
    </x:xf>
    <x:xf numFmtId="0" fontId="8" fillId="2" borderId="7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200" fontId="7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1" fontId="7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200" fontId="3" fillId="6" borderId="6" xfId="0" applyNumberFormat="1" applyFont="1" applyFill="1" applyBorder="1" applyAlignment="1">
      <x:alignment wrapText="1"/>
    </x:xf>
    <x:xf numFmtId="200" fontId="3" fillId="6" borderId="7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3" fillId="9" borderId="8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wrapText="1"/>
    </x:xf>
    <x:xf numFmtId="200" fontId="3" fillId="9" borderId="9" xfId="0" applyNumberFormat="1" applyFont="1" applyFill="1" applyBorder="1" applyAlignment="1">
      <x:alignment wrapText="1"/>
    </x:xf>
    <x:xf numFmtId="200" fontId="3" fillId="9" borderId="1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horizontal="center" wrapText="1"/>
    </x:xf>
    <x:xf numFmtId="0" fontId="3" fillId="8" borderId="12" xfId="0" applyNumberFormat="1" applyFont="1" applyFill="1" applyBorder="1" applyAlignment="1">
      <x:alignment horizontal="center" wrapText="1"/>
    </x:xf>
    <x:xf numFmtId="0" fontId="3" fillId="8" borderId="13" xfId="0" applyNumberFormat="1" applyFont="1" applyFill="1" applyBorder="1" applyAlignment="1">
      <x:alignment horizontal="center" wrapText="1"/>
    </x:xf>
    <x:xf numFmtId="0" fontId="8" fillId="2" borderId="14" xfId="0" applyNumberFormat="1" applyFont="1" applyFill="1" applyBorder="1" applyAlignment="1">
      <x:alignment horizontal="center" wrapText="1"/>
    </x:xf>
    <x:xf numFmtId="0" fontId="8" fillId="2" borderId="15" xfId="0" applyNumberFormat="1" applyFont="1" applyFill="1" applyBorder="1" applyAlignment="1">
      <x:alignment horizontal="center" wrapText="1"/>
    </x:xf>
    <x:xf numFmtId="0" fontId="8" fillId="2" borderId="16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200" fontId="7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7" fillId="0" borderId="15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3" fillId="6" borderId="14" xfId="0" applyNumberFormat="1" applyFont="1" applyFill="1" applyBorder="1" applyAlignment="1">
      <x:alignment wrapText="1"/>
    </x:xf>
    <x:xf numFmtId="200" fontId="3" fillId="6" borderId="15" xfId="0" applyNumberFormat="1" applyFont="1" applyFill="1" applyBorder="1" applyAlignment="1">
      <x:alignment wrapText="1"/>
    </x:xf>
    <x:xf numFmtId="200" fontId="3" fillId="6" borderId="1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3" fontId="0" fillId="0" borderId="15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0" fontId="3" fillId="9" borderId="17" xfId="0" applyNumberFormat="1" applyFont="1" applyFill="1" applyBorder="1" applyAlignment="1">
      <x:alignment wrapText="1"/>
    </x:xf>
    <x:xf numFmtId="0" fontId="3" fillId="9" borderId="18" xfId="0" applyNumberFormat="1" applyFont="1" applyFill="1" applyBorder="1" applyAlignment="1">
      <x:alignment wrapText="1"/>
    </x:xf>
    <x:xf numFmtId="200" fontId="3" fillId="9" borderId="18" xfId="0" applyNumberFormat="1" applyFont="1" applyFill="1" applyBorder="1" applyAlignment="1">
      <x:alignment wrapText="1"/>
    </x:xf>
    <x:xf numFmtId="200" fontId="3" fillId="9" borderId="19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9" fillId="5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2" fontId="5" fillId="5" borderId="0" xfId="0" applyNumberFormat="1" applyFont="1" applyFill="1" applyBorder="1"/>
    <x:xf numFmtId="202" fontId="5" fillId="5" borderId="1" xfId="0" applyNumberFormat="1" applyFont="1" applyFill="1" applyBorder="1"/>
    <x:xf numFmtId="202" fontId="5" fillId="5" borderId="7" xfId="0" applyNumberFormat="1" applyFont="1" applyFill="1" applyBorder="1"/>
    <x:xf numFmtId="202" fontId="5" fillId="5" borderId="16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6" borderId="0" xfId="0" applyNumberFormat="1" applyFont="1" applyFill="1" applyBorder="1"/>
    <x:xf numFmtId="200" fontId="0" fillId="6" borderId="0" xfId="0" applyNumberFormat="1" applyFont="1" applyFill="1" applyBorder="1"/>
    <x:xf numFmtId="202" fontId="0" fillId="6" borderId="1" xfId="0" applyNumberFormat="1" applyFont="1" applyFill="1" applyBorder="1"/>
    <x:xf numFmtId="200" fontId="0" fillId="6" borderId="1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15" xfId="0" applyNumberFormat="1" applyFont="1" applyFill="1" applyBorder="1"/>
    <x:xf numFmtId="202" fontId="0" fillId="0" borderId="18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8" fillId="2" borderId="2" xfId="0" applyNumberFormat="1" applyFont="1" applyFill="1" applyBorder="1" applyAlignment="1">
      <x:alignment horizontal="center"/>
    </x:xf>
    <x:xf numFmtId="0" fontId="8" fillId="2" borderId="3" xfId="0" applyNumberFormat="1" applyFont="1" applyFill="1" applyBorder="1" applyAlignment="1">
      <x:alignment horizontal="center"/>
    </x:xf>
    <x:xf numFmtId="0" fontId="8" fillId="2" borderId="4" xfId="0" applyNumberFormat="1" applyFont="1" applyFill="1" applyBorder="1" applyAlignment="1">
      <x:alignment horizontal="center"/>
    </x:xf>
    <x:xf numFmtId="0" fontId="8" fillId="2" borderId="11" xfId="0" applyNumberFormat="1" applyFont="1" applyFill="1" applyBorder="1" applyAlignment="1">
      <x:alignment horizontal="center"/>
    </x:xf>
    <x:xf numFmtId="0" fontId="8" fillId="2" borderId="12" xfId="0" applyNumberFormat="1" applyFont="1" applyFill="1" applyBorder="1" applyAlignment="1">
      <x:alignment horizontal="center"/>
    </x:xf>
    <x:xf numFmtId="0" fontId="8" fillId="2" borderId="13" xfId="0" applyNumberFormat="1" applyFont="1" applyFill="1" applyBorder="1" applyAlignment="1">
      <x:alignment horizontal="center"/>
    </x:xf>
    <x:xf numFmtId="202" fontId="4" fillId="5" borderId="9" xfId="0" applyNumberFormat="1" applyFont="1" applyFill="1" applyBorder="1"/>
    <x:xf numFmtId="202" fontId="4" fillId="5" borderId="18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0" fillId="10" borderId="1" xfId="0" applyNumberFormat="1" applyFont="1" applyFill="1" applyBorder="1"/>
    <x:xf numFmtId="0" fontId="10" fillId="1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6" borderId="0" xfId="0" applyNumberFormat="1" applyFont="1" applyFill="1" applyBorder="1"/>
    <x:xf numFmtId="200" fontId="3" fillId="6" borderId="0" xfId="0" applyNumberFormat="1" applyFont="1" applyFill="1" applyBorder="1"/>
    <x:xf numFmtId="200" fontId="0" fillId="9" borderId="0" xfId="0" applyNumberFormat="1" applyFont="1" applyFill="1" applyBorder="1"/>
    <x:xf numFmtId="0" fontId="3" fillId="9" borderId="0" xfId="0" applyNumberFormat="1" applyFont="1" applyFill="1" applyBorder="1"/>
    <x:xf numFmtId="200" fontId="3" fillId="9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wrapText="1"/>
    </x:xf>
    <x:xf numFmtId="200" fontId="7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200" fontId="3" fillId="9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baea6b55a435e" /><Relationship Type="http://schemas.openxmlformats.org/officeDocument/2006/relationships/theme" Target="/xl/theme/theme1.xml" Id="R1968ebc685544d8f" /><Relationship Type="http://schemas.openxmlformats.org/officeDocument/2006/relationships/sharedStrings" Target="/xl/sharedStrings.xml" Id="R309ac01b8c6e4f9d" /><Relationship Type="http://schemas.openxmlformats.org/officeDocument/2006/relationships/worksheet" Target="/xl/worksheets/sheet1.xml" Id="R39da68b8722a4f05" /><Relationship Type="http://schemas.openxmlformats.org/officeDocument/2006/relationships/worksheet" Target="/xl/worksheets/sheet2.xml" Id="R90cdb0a159464d40" /><Relationship Type="http://schemas.openxmlformats.org/officeDocument/2006/relationships/worksheet" Target="/xl/worksheets/sheet3.xml" Id="R6a4dc92c7c2f4881" /><Relationship Type="http://schemas.openxmlformats.org/officeDocument/2006/relationships/worksheet" Target="/xl/worksheets/sheet4.xml" Id="R4d652b5579994e50" /><Relationship Type="http://schemas.openxmlformats.org/officeDocument/2006/relationships/worksheet" Target="/xl/worksheets/sheet5.xml" Id="Rcb2fd7b5ede94326" /><Relationship Type="http://schemas.openxmlformats.org/officeDocument/2006/relationships/worksheet" Target="/xl/worksheets/sheet6.xml" Id="R97abb6a1ce2a4f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36" hidden="0" customWidth="1"/>
  </x:cols>
  <x:sheetData>
    <x:row r="1" ht="16.799999237060547" hidden="0" customHeight="1">
      <x:c r="A1" s="4" t="str">
        <x:v>ФАКТИЧЕСКИЕ ДАННЫЕ</x:v>
      </x:c>
      <x:c r="B1" s="4"/>
      <x:c r="C1" s="4"/>
      <x:c r="D1" s="4"/>
    </x:row>
    <x:row r="2" ht="26.399999618530273" hidden="0" customHeight="1">
      <x:c r="A2" s="10" t="str">
        <x:v>Фактический слой совпадает с занятием 5.1 и не зависит от стресс-сценария. Стресс-тест изменяет только прогнозные предпосылки.</x:v>
      </x:c>
      <x:c r="B2" s="10"/>
      <x:c r="C2" s="10"/>
      <x:c r="D2" s="10"/>
    </x:row>
    <x:row r="3"/>
    <x:row r="4" ht="15" hidden="0" customHeight="1">
      <x:c r="A4" s="28" t="str">
        <x:v>Показатель</x:v>
      </x:c>
      <x:c r="B4" s="29" t="str">
        <x:v>2024</x:v>
      </x:c>
      <x:c r="C4" s="29" t="str">
        <x:v>2025</x:v>
      </x:c>
      <x:c r="D4" s="30" t="str">
        <x:v>Единица</x:v>
      </x:c>
    </x:row>
    <x:row r="5" ht="15" hidden="0" customHeight="1">
      <x:c r="A5" s="31" t="str">
        <x:v>Объем продаж</x:v>
      </x:c>
      <x:c r="B5" s="32" t="n">
        <x:v>75000</x:v>
      </x:c>
      <x:c r="C5" s="32" t="n">
        <x:v>80000</x:v>
      </x:c>
      <x:c r="D5" s="33" t="str">
        <x:v>ед.</x:v>
      </x:c>
    </x:row>
    <x:row r="6" ht="15" hidden="0" customHeight="1">
      <x:c r="A6" s="31" t="str">
        <x:v>Цена</x:v>
      </x:c>
      <x:c r="B6" s="34" t="n">
        <x:v>1120</x:v>
      </x:c>
      <x:c r="C6" s="34" t="n">
        <x:v>1200</x:v>
      </x:c>
      <x:c r="D6" s="33" t="str">
        <x:v>руб./ед.</x:v>
      </x:c>
    </x:row>
    <x:row r="7" ht="15" hidden="0" customHeight="1">
      <x:c r="A7" s="31" t="str">
        <x:v>Переменные затраты</x:v>
      </x:c>
      <x:c r="B7" s="34" t="n">
        <x:v>660</x:v>
      </x:c>
      <x:c r="C7" s="34" t="n">
        <x:v>700</x:v>
      </x:c>
      <x:c r="D7" s="33" t="str">
        <x:v>руб./ед.</x:v>
      </x:c>
    </x:row>
    <x:row r="8" ht="15" hidden="0" customHeight="1">
      <x:c r="A8" s="31" t="str">
        <x:v>Постоянные затраты</x:v>
      </x:c>
      <x:c r="B8" s="32" t="n">
        <x:v>16500000</x:v>
      </x:c>
      <x:c r="C8" s="32" t="n">
        <x:v>18000000</x:v>
      </x:c>
      <x:c r="D8" s="33" t="str">
        <x:v>руб.</x:v>
      </x:c>
    </x:row>
    <x:row r="9" ht="15" hidden="0" customHeight="1">
      <x:c r="A9" s="35" t="str">
        <x:v>Налоговая ставка</x:v>
      </x:c>
      <x:c r="B9" s="36" t="n">
        <x:v>0.2</x:v>
      </x:c>
      <x:c r="C9" s="36" t="n">
        <x:v>0.2</x:v>
      </x:c>
      <x:c r="D9" s="37" t="str">
        <x:v>%</x:v>
      </x:c>
    </x:row>
    <x:row r="10"/>
    <x:row r="11"/>
    <x:row r="12" ht="15" hidden="0" customHeight="1">
      <x:c r="A12" s="50" t="str">
        <x:v>Контроль факта</x:v>
      </x:c>
      <x:c r="B12" s="51" t="str">
        <x:v>2024</x:v>
      </x:c>
      <x:c r="C12" s="51" t="str">
        <x:v>2025</x:v>
      </x:c>
      <x:c r="D12" s="52" t="str">
        <x:v>Комментарий</x:v>
      </x:c>
    </x:row>
    <x:row r="13" ht="15" hidden="0" customHeight="1">
      <x:c r="A13" s="31" t="str">
        <x:v>Выручка</x:v>
      </x:c>
      <x:c r="B13" s="53" t="n">
        <x:f>B5*B6</x:f>
        <x:v>84000000</x:v>
      </x:c>
      <x:c r="C13" s="53" t="n">
        <x:f>C5*C6</x:f>
        <x:v>96000000</x:v>
      </x:c>
      <x:c r="D13" s="33" t="str">
        <x:v>Должна оставаться неизменной при любом stress test</x:v>
      </x:c>
    </x:row>
    <x:row r="14" ht="15" hidden="0" customHeight="1">
      <x:c r="A14" s="31" t="str">
        <x:v>Операционная прибыль</x:v>
      </x:c>
      <x:c r="B14" s="53" t="n">
        <x:f>B13-B5*B7-B8</x:f>
        <x:v>18000000</x:v>
      </x:c>
      <x:c r="C14" s="53" t="n">
        <x:f>C13-C5*C7-C8</x:f>
        <x:v>22000000</x:v>
      </x:c>
      <x:c r="D14" s="33" t="str">
        <x:v>До налога</x:v>
      </x:c>
    </x:row>
    <x:row r="15" ht="15" hidden="0" customHeight="1">
      <x:c r="A15" s="35" t="str">
        <x:v>FCF</x:v>
      </x:c>
      <x:c r="B15" s="54" t="n">
        <x:f>B14-MAX(B14,0)*B9</x:f>
        <x:v>14400000</x:v>
      </x:c>
      <x:c r="C15" s="54" t="n">
        <x:f>C14-MAX(C14,0)*C9</x:f>
        <x:v>17600000</x:v>
      </x:c>
      <x:c r="D15" s="37" t="str">
        <x:v>В учебной модели = операционная прибыль после налога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2" hidden="0" customWidth="1"/>
    <x:col min="9" max="9" width="28" hidden="0" customWidth="1"/>
    <x:col min="10" max="10" width="18" hidden="0" customWidth="1"/>
    <x:col min="11" max="11" width="13" hidden="0" customWidth="1"/>
  </x:cols>
  <x:sheetData>
    <x:row r="1" ht="16.799999237060547" hidden="0" customHeight="1">
      <x:c r="A1" s="4" t="str">
        <x:v>СТРЕСС-СЦЕНАРИИ И КРИТЕРИИ ПРИЕМЛЕМОСТИ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15" hidden="0" customHeight="1">
      <x:c r="A2" s="10" t="str">
        <x:v>Все стресс-сценарии учебные. Их значения не следует интерпретировать как отраслевые нормативы или прогноз. Цель — проверить устойчивость одной и той же модели к содержательно различным неблагоприятным комбинациям.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/>
    <x:row r="4" ht="15" hidden="0" customHeight="1">
      <x:c r="A4" s="15" t="str">
        <x:v>Активный тест</x:v>
      </x:c>
      <x:c r="B4" s="61" t="str">
        <x:v>База</x:v>
      </x:c>
    </x:row>
    <x:row r="5"/>
    <x:row r="6" ht="15" hidden="0" customHeight="1">
      <x:c r="A6" s="65" t="str">
        <x:v>Матрица стресс-предпосылок</x:v>
      </x:c>
      <x:c r="B6" s="65"/>
      <x:c r="C6" s="65"/>
      <x:c r="D6" s="65"/>
      <x:c r="E6" s="65"/>
      <x:c r="F6" s="65"/>
      <x:c r="G6" s="65"/>
      <x:c r="I6" s="65" t="str">
        <x:v>Выбранные предпосылки</x:v>
      </x:c>
      <x:c r="J6" s="65"/>
      <x:c r="K6" s="65"/>
    </x:row>
    <x:row r="7" ht="15" hidden="0" customHeight="1">
      <x:c r="A7" s="78" t="str">
        <x:v>Параметр</x:v>
      </x:c>
      <x:c r="B7" s="79" t="str">
        <x:v>Единица</x:v>
      </x:c>
      <x:c r="C7" s="79" t="str">
        <x:v>База</x:v>
      </x:c>
      <x:c r="D7" s="79" t="str">
        <x:v>Стресс спроса</x:v>
      </x:c>
      <x:c r="E7" s="79" t="str">
        <x:v>Стресс маржи</x:v>
      </x:c>
      <x:c r="F7" s="79" t="str">
        <x:v>Комбинированный стресс</x:v>
      </x:c>
      <x:c r="G7" s="80" t="str">
        <x:v>Содержательная логика</x:v>
      </x:c>
      <x:c r="I7" s="28" t="str">
        <x:v>Параметр</x:v>
      </x:c>
      <x:c r="J7" s="29" t="str">
        <x:v>Значение</x:v>
      </x:c>
      <x:c r="K7" s="30" t="str">
        <x:v>Единица</x:v>
      </x:c>
    </x:row>
    <x:row r="8" ht="15" hidden="0" customHeight="1">
      <x:c r="A8" s="31" t="str">
        <x:v>Рост объема</x:v>
      </x:c>
      <x:c r="B8" s="81" t="str">
        <x:v>%/год</x:v>
      </x:c>
      <x:c r="C8" s="82" t="n">
        <x:v>0.04</x:v>
      </x:c>
      <x:c r="D8" s="82" t="n">
        <x:v>-0.02</x:v>
      </x:c>
      <x:c r="E8" s="82" t="n">
        <x:v>0.02</x:v>
      </x:c>
      <x:c r="F8" s="82" t="n">
        <x:v>-0.06</x:v>
      </x:c>
      <x:c r="G8" s="33" t="str">
        <x:v>Снижение спроса / загрузки</x:v>
      </x:c>
      <x:c r="I8" s="31" t="str">
        <x:v>Рост объема</x:v>
      </x:c>
      <x:c r="J8" s="100" t="n">
        <x:f>XLOOKUP($B$4,$C$7:$F$7,$C$8:$F$8)</x:f>
        <x:v>0.04</x:v>
      </x:c>
      <x:c r="K8" s="33" t="str">
        <x:v>%/год</x:v>
      </x:c>
    </x:row>
    <x:row r="9" ht="15" hidden="0" customHeight="1">
      <x:c r="A9" s="31" t="str">
        <x:v>Рост цены</x:v>
      </x:c>
      <x:c r="B9" s="81" t="str">
        <x:v>%/год</x:v>
      </x:c>
      <x:c r="C9" s="82" t="n">
        <x:v>0.03</x:v>
      </x:c>
      <x:c r="D9" s="82" t="n">
        <x:v>0.01</x:v>
      </x:c>
      <x:c r="E9" s="82" t="n">
        <x:v>0.01</x:v>
      </x:c>
      <x:c r="F9" s="82" t="n">
        <x:v>0</x:v>
      </x:c>
      <x:c r="G9" s="33" t="str">
        <x:v>Ограниченная возможность переложить шок в цену</x:v>
      </x:c>
      <x:c r="I9" s="31" t="str">
        <x:v>Рост цены</x:v>
      </x:c>
      <x:c r="J9" s="100" t="n">
        <x:f>XLOOKUP($B$4,$C$7:$F$7,$C$9:$F$9)</x:f>
        <x:v>0.03</x:v>
      </x:c>
      <x:c r="K9" s="33" t="str">
        <x:v>%/год</x:v>
      </x:c>
    </x:row>
    <x:row r="10" ht="15" hidden="0" customHeight="1">
      <x:c r="A10" s="31" t="str">
        <x:v>Рост переменных затрат</x:v>
      </x:c>
      <x:c r="B10" s="81" t="str">
        <x:v>%/год</x:v>
      </x:c>
      <x:c r="C10" s="82" t="n">
        <x:v>0.03</x:v>
      </x:c>
      <x:c r="D10" s="82" t="n">
        <x:v>0.04</x:v>
      </x:c>
      <x:c r="E10" s="82" t="n">
        <x:v>0.07</x:v>
      </x:c>
      <x:c r="F10" s="82" t="n">
        <x:v>0.09</x:v>
      </x:c>
      <x:c r="G10" s="33" t="str">
        <x:v>Сжатие единичной маржи</x:v>
      </x:c>
      <x:c r="I10" s="31" t="str">
        <x:v>Рост переменных затрат</x:v>
      </x:c>
      <x:c r="J10" s="100" t="n">
        <x:f>XLOOKUP($B$4,$C$7:$F$7,$C$10:$F$10)</x:f>
        <x:v>0.03</x:v>
      </x:c>
      <x:c r="K10" s="33" t="str">
        <x:v>%/год</x:v>
      </x:c>
    </x:row>
    <x:row r="11" ht="15" hidden="0" customHeight="1">
      <x:c r="A11" s="31" t="str">
        <x:v>Рост постоянных затрат</x:v>
      </x:c>
      <x:c r="B11" s="81" t="str">
        <x:v>%/год</x:v>
      </x:c>
      <x:c r="C11" s="82" t="n">
        <x:v>0.04</x:v>
      </x:c>
      <x:c r="D11" s="82" t="n">
        <x:v>0.05</x:v>
      </x:c>
      <x:c r="E11" s="82" t="n">
        <x:v>0.06</x:v>
      </x:c>
      <x:c r="F11" s="82" t="n">
        <x:v>0.08</x:v>
      </x:c>
      <x:c r="G11" s="33" t="str">
        <x:v>Рост инфраструктурной нагрузки</x:v>
      </x:c>
      <x:c r="I11" s="31" t="str">
        <x:v>Рост постоянных затрат</x:v>
      </x:c>
      <x:c r="J11" s="100" t="n">
        <x:f>XLOOKUP($B$4,$C$7:$F$7,$C$11:$F$11)</x:f>
        <x:v>0.04</x:v>
      </x:c>
      <x:c r="K11" s="33" t="str">
        <x:v>%/год</x:v>
      </x:c>
    </x:row>
    <x:row r="12" ht="15" hidden="0" customHeight="1">
      <x:c r="A12" s="31" t="str">
        <x:v>CAPEX на старте прогноза</x:v>
      </x:c>
      <x:c r="B12" s="81" t="str">
        <x:v>руб.</x:v>
      </x:c>
      <x:c r="C12" s="83" t="n">
        <x:v>30000000</x:v>
      </x:c>
      <x:c r="D12" s="83" t="n">
        <x:v>25000000</x:v>
      </x:c>
      <x:c r="E12" s="83" t="n">
        <x:v>30000000</x:v>
      </x:c>
      <x:c r="F12" s="83" t="n">
        <x:v>35000000</x:v>
      </x:c>
      <x:c r="G12" s="33" t="str">
        <x:v>Инвестиционная реакция на стресс</x:v>
      </x:c>
      <x:c r="I12" s="31" t="str">
        <x:v>CAPEX</x:v>
      </x:c>
      <x:c r="J12" s="101" t="n">
        <x:f>XLOOKUP($B$4,$C$7:$F$7,$C$12:$F$12)</x:f>
        <x:v>30000000</x:v>
      </x:c>
      <x:c r="K12" s="33" t="str">
        <x:v>руб.</x:v>
      </x:c>
    </x:row>
    <x:row r="13" ht="15" hidden="0" customHeight="1">
      <x:c r="A13" s="31" t="str">
        <x:v>Ставка дисконтирования</x:v>
      </x:c>
      <x:c r="B13" s="81" t="str">
        <x:v>%</x:v>
      </x:c>
      <x:c r="C13" s="82" t="n">
        <x:v>0.15</x:v>
      </x:c>
      <x:c r="D13" s="82" t="n">
        <x:v>0.17</x:v>
      </x:c>
      <x:c r="E13" s="82" t="n">
        <x:v>0.18</x:v>
      </x:c>
      <x:c r="F13" s="82" t="n">
        <x:v>0.22</x:v>
      </x:c>
      <x:c r="G13" s="33" t="str">
        <x:v>Рост требуемой доходности / риска</x:v>
      </x:c>
      <x:c r="I13" s="35" t="str">
        <x:v>Ставка дисконтирования</x:v>
      </x:c>
      <x:c r="J13" s="102" t="n">
        <x:f>XLOOKUP($B$4,$C$7:$F$7,$C$13:$F$13)</x:f>
        <x:v>0.15</x:v>
      </x:c>
      <x:c r="K13" s="37" t="str">
        <x:v>%</x:v>
      </x:c>
    </x:row>
    <x:row r="14" ht="48" hidden="0" customHeight="1">
      <x:c r="A14" s="35" t="str">
        <x:v>Описание</x:v>
      </x:c>
      <x:c r="B14" s="84" t="str"/>
      <x:c r="C14" s="309" t="str">
        <x:v>Исходная траектория</x:v>
      </x:c>
      <x:c r="D14" s="309" t="str">
        <x:v>Спрос замедляется, но маржа ухудшается умеренно</x:v>
      </x:c>
      <x:c r="E14" s="309" t="str">
        <x:v>Спрос сохраняется, но затраты растут быстрее цены</x:v>
      </x:c>
      <x:c r="F14" s="309" t="str">
        <x:v>Одновременный шок спроса, маржи и стоимости капитала</x:v>
      </x:c>
      <x:c r="G14" s="37" t="str">
        <x:v>Причинная рамка</x:v>
      </x:c>
    </x:row>
    <x:row r="15"/>
    <x:row r="16">
      <x:c r="I16" s="10" t="str">
        <x:v>NPV = 20 млн руб. — учебный управленческий порог, сохраненный из дня 4. Он используется только для демонстрации двухуровневой классификации: положительный NPV еще не означает выполнение более жесткого внутреннего требования.</x:v>
      </x:c>
      <x:c r="J16" s="10"/>
      <x:c r="K16" s="10"/>
    </x:row>
    <x:row r="17" ht="15" hidden="0" customHeight="1">
      <x:c r="A17" s="65" t="str">
        <x:v>Учебные критерии приемлемости</x:v>
      </x:c>
      <x:c r="B17" s="65"/>
      <x:c r="C17" s="65"/>
      <x:c r="D17" s="65"/>
      <x:c r="E17" s="65"/>
      <x:c r="F17" s="65"/>
      <x:c r="I17" s="10"/>
      <x:c r="J17" s="10"/>
      <x:c r="K17" s="10"/>
    </x:row>
    <x:row r="18" ht="26.399999618530273" hidden="0" customHeight="1">
      <x:c r="A18" s="106" t="str">
        <x:v>KPI</x:v>
      </x:c>
      <x:c r="B18" s="107" t="str">
        <x:v>Минимальный порог</x:v>
      </x:c>
      <x:c r="C18" s="107" t="str">
        <x:v>Управленческий порог</x:v>
      </x:c>
      <x:c r="D18" s="107" t="str">
        <x:v>Единица</x:v>
      </x:c>
      <x:c r="E18" s="107" t="str">
        <x:v>Смысл</x:v>
      </x:c>
      <x:c r="F18" s="108" t="str">
        <x:v>Статус определяется по...</x:v>
      </x:c>
      <x:c r="I18" s="10"/>
      <x:c r="J18" s="10"/>
      <x:c r="K18" s="10"/>
    </x:row>
    <x:row r="19" ht="15" hidden="0" customHeight="1">
      <x:c r="A19" s="31" t="str">
        <x:v>NPV прогноза</x:v>
      </x:c>
      <x:c r="B19" s="83" t="n">
        <x:v>0</x:v>
      </x:c>
      <x:c r="C19" s="83" t="n">
        <x:v>20000000</x:v>
      </x:c>
      <x:c r="D19" s="81" t="str">
        <x:v>руб.</x:v>
      </x:c>
      <x:c r="E19" s="81" t="str">
        <x:v>Экономический результат прогноза</x:v>
      </x:c>
      <x:c r="F19" s="33" t="str">
        <x:v>двум уровням порога</x:v>
      </x:c>
      <x:c r="I19" s="10"/>
      <x:c r="J19" s="10"/>
      <x:c r="K19" s="10"/>
    </x:row>
    <x:row r="20" ht="15" hidden="0" customHeight="1">
      <x:c r="A20" s="31" t="str">
        <x:v>Операционная прибыль 2030</x:v>
      </x:c>
      <x:c r="B20" s="83" t="n">
        <x:v>0</x:v>
      </x:c>
      <x:c r="C20" s="83"/>
      <x:c r="D20" s="81" t="str">
        <x:v>руб.</x:v>
      </x:c>
      <x:c r="E20" s="81" t="str">
        <x:v>Способность сохранять положительную операционную маржу</x:v>
      </x:c>
      <x:c r="F20" s="33" t="str">
        <x:v>минимальному порогу</x:v>
      </x:c>
      <x:c r="I20" s="10"/>
      <x:c r="J20" s="10"/>
      <x:c r="K20" s="10"/>
    </x:row>
    <x:row r="21" ht="15" hidden="0" customHeight="1">
      <x:c r="A21" s="35" t="str">
        <x:v>FCF 2030</x:v>
      </x:c>
      <x:c r="B21" s="109" t="n">
        <x:v>0</x:v>
      </x:c>
      <x:c r="C21" s="109"/>
      <x:c r="D21" s="84" t="str">
        <x:v>руб.</x:v>
      </x:c>
      <x:c r="E21" s="84" t="str">
        <x:v>Положительный денежный поток в конце горизонта</x:v>
      </x:c>
      <x:c r="F21" s="37" t="str">
        <x:v>минимальному порогу</x:v>
      </x:c>
    </x:row>
  </x:sheetData>
  <x:mergeCells>
    <x:mergeCell ref="A1:K1"/>
    <x:mergeCell ref="A2:K2"/>
    <x:mergeCell ref="A6:G6"/>
    <x:mergeCell ref="I6:K6"/>
    <x:mergeCell ref="A17:F17"/>
    <x:mergeCell ref="I16:K20"/>
  </x:mergeCells>
  <x:dataValidations count="1">
    <x:dataValidation type="list" sqref="B4">
      <x:formula1>"База,Стресс спроса,Стресс маржи,Комбинированный стресс"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32" hidden="0" customWidth="1"/>
    <x:col min="6" max="6" width="15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16.799999237060547" hidden="0" customHeight="1">
      <x:c r="A1" s="192" t="str">
        <x:v>ЕДИНЫЙ РАСЧЕТНЫЙ КОНТУР СТРЕСС-ТЕСТА</x:v>
      </x:c>
      <x:c r="B1" s="192"/>
      <x:c r="C1" s="192"/>
      <x:c r="D1" s="192"/>
      <x:c r="E1" s="192"/>
      <x:c r="F1" s="192"/>
      <x:c r="G1" s="192"/>
      <x:c r="H1" s="192"/>
      <x:c r="I1" s="192"/>
    </x:row>
    <x:row r="2" ht="15" hidden="0" customHeight="1">
      <x:c r="A2" s="10" t="str">
        <x:v>Модель использует один набор выбранных предпосылок из StressCases. Исторический факт не меняется; стресс влияет только на прогноз 2026–2030.</x:v>
      </x:c>
      <x:c r="B2" s="10"/>
      <x:c r="C2" s="10"/>
      <x:c r="D2" s="10"/>
      <x:c r="E2" s="10"/>
      <x:c r="F2" s="10"/>
      <x:c r="G2" s="10"/>
      <x:c r="H2" s="10"/>
      <x:c r="I2" s="10"/>
    </x:row>
    <x:row r="3" ht="15" hidden="0" customHeight="1">
      <x:c r="A3" s="193"/>
      <x:c r="B3" s="193"/>
      <x:c r="C3" s="193"/>
      <x:c r="D3" s="193"/>
      <x:c r="E3" s="193"/>
      <x:c r="F3" s="193"/>
      <x:c r="G3" s="193"/>
      <x:c r="H3" s="193"/>
      <x:c r="I3" s="193"/>
    </x:row>
    <x:row r="4" ht="15" hidden="0" customHeight="1">
      <x:c r="A4" s="78" t="str">
        <x:v>Тип периода</x:v>
      </x:c>
      <x:c r="B4" s="194" t="str">
        <x:v>Факт</x:v>
      </x:c>
      <x:c r="C4" s="194" t="str">
        <x:v>Факт</x:v>
      </x:c>
      <x:c r="D4" s="195" t="str">
        <x:v>Прогноз</x:v>
      </x:c>
      <x:c r="E4" s="195" t="str">
        <x:v>Прогноз</x:v>
      </x:c>
      <x:c r="F4" s="195" t="str">
        <x:v>Прогноз</x:v>
      </x:c>
      <x:c r="G4" s="195" t="str">
        <x:v>Прогноз</x:v>
      </x:c>
      <x:c r="H4" s="196" t="str">
        <x:v>Прогноз</x:v>
      </x:c>
      <x:c r="I4" s="193"/>
    </x:row>
    <x:row r="5" ht="15" hidden="0" customHeight="1">
      <x:c r="A5" s="197" t="str">
        <x:v>Показатель</x:v>
      </x:c>
      <x:c r="B5" s="198" t="n">
        <x:v>2024</x:v>
      </x:c>
      <x:c r="C5" s="198" t="n">
        <x:v>2025</x:v>
      </x:c>
      <x:c r="D5" s="198" t="n">
        <x:v>2026</x:v>
      </x:c>
      <x:c r="E5" s="198" t="n">
        <x:v>2027</x:v>
      </x:c>
      <x:c r="F5" s="198" t="n">
        <x:v>2028</x:v>
      </x:c>
      <x:c r="G5" s="198" t="n">
        <x:v>2029</x:v>
      </x:c>
      <x:c r="H5" s="199" t="n">
        <x:v>2030</x:v>
      </x:c>
      <x:c r="I5" s="193"/>
    </x:row>
    <x:row r="6" ht="15" hidden="0" customHeight="1">
      <x:c r="A6" s="200" t="str">
        <x:v>Объем, ед.</x:v>
      </x:c>
      <x:c r="B6" s="201" t="n">
        <x:f>Fact!B5</x:f>
        <x:v>75000</x:v>
      </x:c>
      <x:c r="C6" s="201" t="n">
        <x:f>Fact!C5</x:f>
        <x:v>80000</x:v>
      </x:c>
      <x:c r="D6" s="202" t="n">
        <x:f>C6*(1+StressCases!$J$8)</x:f>
        <x:v>83200</x:v>
      </x:c>
      <x:c r="E6" s="202" t="n">
        <x:f>D6*(1+StressCases!$J$8)</x:f>
        <x:v>86528</x:v>
      </x:c>
      <x:c r="F6" s="202" t="n">
        <x:f>E6*(1+StressCases!$J$8)</x:f>
        <x:v>89989.12000000001</x:v>
      </x:c>
      <x:c r="G6" s="202" t="n">
        <x:f>F6*(1+StressCases!$J$8)</x:f>
        <x:v>93588.68480000002</x:v>
      </x:c>
      <x:c r="H6" s="203" t="n">
        <x:f>G6*(1+StressCases!$J$8)</x:f>
        <x:v>97332.23219200002</x:v>
      </x:c>
      <x:c r="I6" s="193"/>
    </x:row>
    <x:row r="7" ht="15" hidden="0" customHeight="1">
      <x:c r="A7" s="200" t="str">
        <x:v>Цена, руб./ед.</x:v>
      </x:c>
      <x:c r="B7" s="204" t="n">
        <x:f>Fact!B6</x:f>
        <x:v>1120</x:v>
      </x:c>
      <x:c r="C7" s="204" t="n">
        <x:f>Fact!C6</x:f>
        <x:v>1200</x:v>
      </x:c>
      <x:c r="D7" s="205" t="n">
        <x:f>C7*(1+StressCases!$J$9)</x:f>
        <x:v>1236</x:v>
      </x:c>
      <x:c r="E7" s="205" t="n">
        <x:f>D7*(1+StressCases!$J$9)</x:f>
        <x:v>1273.08</x:v>
      </x:c>
      <x:c r="F7" s="205" t="n">
        <x:f>E7*(1+StressCases!$J$9)</x:f>
        <x:v>1311.2724</x:v>
      </x:c>
      <x:c r="G7" s="205" t="n">
        <x:f>F7*(1+StressCases!$J$9)</x:f>
        <x:v>1350.610572</x:v>
      </x:c>
      <x:c r="H7" s="206" t="n">
        <x:f>G7*(1+StressCases!$J$9)</x:f>
        <x:v>1391.12888916</x:v>
      </x:c>
      <x:c r="I7" s="193"/>
    </x:row>
    <x:row r="8" ht="15" hidden="0" customHeight="1">
      <x:c r="A8" s="200" t="str">
        <x:v>Выручка, руб.</x:v>
      </x:c>
      <x:c r="B8" s="202" t="n">
        <x:f>B6*B7</x:f>
        <x:v>84000000</x:v>
      </x:c>
      <x:c r="C8" s="202" t="n">
        <x:f>C6*C7</x:f>
        <x:v>96000000</x:v>
      </x:c>
      <x:c r="D8" s="202" t="n">
        <x:f>D6*D7</x:f>
        <x:v>102835200</x:v>
      </x:c>
      <x:c r="E8" s="202" t="n">
        <x:f>E6*E7</x:f>
        <x:v>110157066.24</x:v>
      </x:c>
      <x:c r="F8" s="202" t="n">
        <x:f>F6*F7</x:f>
        <x:v>118000249.35628802</x:v>
      </x:c>
      <x:c r="G8" s="202" t="n">
        <x:f>G6*G7</x:f>
        <x:v>126401867.11045574</x:v>
      </x:c>
      <x:c r="H8" s="203" t="n">
        <x:f>H6*H7</x:f>
        <x:v>135401680.04872018</x:v>
      </x:c>
      <x:c r="I8" s="193"/>
    </x:row>
    <x:row r="9" ht="15" hidden="0" customHeight="1">
      <x:c r="A9" s="200" t="str">
        <x:v>Переменные затраты, руб./ед.</x:v>
      </x:c>
      <x:c r="B9" s="204" t="n">
        <x:f>Fact!B7</x:f>
        <x:v>660</x:v>
      </x:c>
      <x:c r="C9" s="204" t="n">
        <x:f>Fact!C7</x:f>
        <x:v>700</x:v>
      </x:c>
      <x:c r="D9" s="205" t="n">
        <x:f>C9*(1+StressCases!$J$10)</x:f>
        <x:v>721</x:v>
      </x:c>
      <x:c r="E9" s="205" t="n">
        <x:f>D9*(1+StressCases!$J$10)</x:f>
        <x:v>742.63</x:v>
      </x:c>
      <x:c r="F9" s="205" t="n">
        <x:f>E9*(1+StressCases!$J$10)</x:f>
        <x:v>764.9089</x:v>
      </x:c>
      <x:c r="G9" s="205" t="n">
        <x:f>F9*(1+StressCases!$J$10)</x:f>
        <x:v>787.856167</x:v>
      </x:c>
      <x:c r="H9" s="206" t="n">
        <x:f>G9*(1+StressCases!$J$10)</x:f>
        <x:v>811.49185201</x:v>
      </x:c>
      <x:c r="I9" s="193"/>
    </x:row>
    <x:row r="10" ht="15" hidden="0" customHeight="1">
      <x:c r="A10" s="200" t="str">
        <x:v>Переменные затраты, руб.</x:v>
      </x:c>
      <x:c r="B10" s="202" t="n">
        <x:f>B6*B9</x:f>
        <x:v>49500000</x:v>
      </x:c>
      <x:c r="C10" s="202" t="n">
        <x:f>C6*C9</x:f>
        <x:v>56000000</x:v>
      </x:c>
      <x:c r="D10" s="202" t="n">
        <x:f>D6*D9</x:f>
        <x:v>59987200</x:v>
      </x:c>
      <x:c r="E10" s="202" t="n">
        <x:f>E6*E9</x:f>
        <x:v>64258288.64</x:v>
      </x:c>
      <x:c r="F10" s="202" t="n">
        <x:f>F6*F9</x:f>
        <x:v>68833478.791168</x:v>
      </x:c>
      <x:c r="G10" s="202" t="n">
        <x:f>G6*G9</x:f>
        <x:v>73734422.48109917</x:v>
      </x:c>
      <x:c r="H10" s="203" t="n">
        <x:f>H6*H9</x:f>
        <x:v>78984313.36175345</x:v>
      </x:c>
      <x:c r="I10" s="193"/>
    </x:row>
    <x:row r="11" ht="15" hidden="0" customHeight="1">
      <x:c r="A11" s="200" t="str">
        <x:v>Постоянные затраты, руб.</x:v>
      </x:c>
      <x:c r="B11" s="201" t="n">
        <x:f>Fact!B8</x:f>
        <x:v>16500000</x:v>
      </x:c>
      <x:c r="C11" s="201" t="n">
        <x:f>Fact!C8</x:f>
        <x:v>18000000</x:v>
      </x:c>
      <x:c r="D11" s="202" t="n">
        <x:f>C11*(1+StressCases!$J$11)</x:f>
        <x:v>18720000</x:v>
      </x:c>
      <x:c r="E11" s="202" t="n">
        <x:f>D11*(1+StressCases!$J$11)</x:f>
        <x:v>19468800</x:v>
      </x:c>
      <x:c r="F11" s="202" t="n">
        <x:f>E11*(1+StressCases!$J$11)</x:f>
        <x:v>20247552</x:v>
      </x:c>
      <x:c r="G11" s="202" t="n">
        <x:f>F11*(1+StressCases!$J$11)</x:f>
        <x:v>21057454.080000002</x:v>
      </x:c>
      <x:c r="H11" s="203" t="n">
        <x:f>G11*(1+StressCases!$J$11)</x:f>
        <x:v>21899752.243200004</x:v>
      </x:c>
      <x:c r="I11" s="193"/>
    </x:row>
    <x:row r="12" ht="15" hidden="0" customHeight="1">
      <x:c r="A12" s="200" t="str">
        <x:v>Операционная прибыль, руб.</x:v>
      </x:c>
      <x:c r="B12" s="202" t="n">
        <x:f>B8-B10-B11</x:f>
        <x:v>18000000</x:v>
      </x:c>
      <x:c r="C12" s="202" t="n">
        <x:f>C8-C10-C11</x:f>
        <x:v>22000000</x:v>
      </x:c>
      <x:c r="D12" s="202" t="n">
        <x:f>D8-D10-D11</x:f>
        <x:v>24128000</x:v>
      </x:c>
      <x:c r="E12" s="202" t="n">
        <x:f>E8-E10-E11</x:f>
        <x:v>26429977.599999994</x:v>
      </x:c>
      <x:c r="F12" s="202" t="n">
        <x:f>F8-F10-F11</x:f>
        <x:v>28919218.56512001</x:v>
      </x:c>
      <x:c r="G12" s="202" t="n">
        <x:f>G8-G10-G11</x:f>
        <x:v>31609990.54935656</x:v>
      </x:c>
      <x:c r="H12" s="203" t="n">
        <x:f>H8-H10-H11</x:f>
        <x:v>34517614.44376673</x:v>
      </x:c>
      <x:c r="I12" s="193"/>
    </x:row>
    <x:row r="13" ht="15" hidden="0" customHeight="1">
      <x:c r="A13" s="200" t="str">
        <x:v>Налог, руб.</x:v>
      </x:c>
      <x:c r="B13" s="202" t="n">
        <x:f>MAX(B12,0)*Fact!B9</x:f>
        <x:v>3600000</x:v>
      </x:c>
      <x:c r="C13" s="202" t="n">
        <x:f>MAX(C12,0)*Fact!C9</x:f>
        <x:v>4400000</x:v>
      </x:c>
      <x:c r="D13" s="202" t="n">
        <x:f>MAX(D12,0)*Fact!C9</x:f>
        <x:v>4825600</x:v>
      </x:c>
      <x:c r="E13" s="202" t="n">
        <x:f>MAX(E12,0)*Fact!C9</x:f>
        <x:v>5285995.52</x:v>
      </x:c>
      <x:c r="F13" s="202" t="n">
        <x:f>MAX(F12,0)*Fact!C9</x:f>
        <x:v>5783843.7130240025</x:v>
      </x:c>
      <x:c r="G13" s="202" t="n">
        <x:f>MAX(G12,0)*Fact!C9</x:f>
        <x:v>6321998.109871313</x:v>
      </x:c>
      <x:c r="H13" s="203" t="n">
        <x:f>MAX(H12,0)*Fact!C9</x:f>
        <x:v>6903522.888753346</x:v>
      </x:c>
      <x:c r="I13" s="193"/>
    </x:row>
    <x:row r="14" ht="15" hidden="0" customHeight="1">
      <x:c r="A14" s="207" t="str">
        <x:v>FCF, руб.</x:v>
      </x:c>
      <x:c r="B14" s="208" t="n">
        <x:f>B12-B13</x:f>
        <x:v>14400000</x:v>
      </x:c>
      <x:c r="C14" s="208" t="n">
        <x:f>C12-C13</x:f>
        <x:v>17600000</x:v>
      </x:c>
      <x:c r="D14" s="208" t="n">
        <x:f>D12-D13</x:f>
        <x:v>19302400</x:v>
      </x:c>
      <x:c r="E14" s="208" t="n">
        <x:f>E12-E13</x:f>
        <x:v>21143982.079999994</x:v>
      </x:c>
      <x:c r="F14" s="208" t="n">
        <x:f>F12-F13</x:f>
        <x:v>23135374.85209601</x:v>
      </x:c>
      <x:c r="G14" s="208" t="n">
        <x:f>G12-G13</x:f>
        <x:v>25287992.43948525</x:v>
      </x:c>
      <x:c r="H14" s="209" t="n">
        <x:f>H12-H13</x:f>
        <x:v>27614091.55501338</x:v>
      </x:c>
      <x:c r="I14" s="193"/>
    </x:row>
    <x:row r="15" ht="15" hidden="0" customHeight="1">
      <x:c r="A15" s="200" t="str">
        <x:v>Коэффициент дисконтирования</x:v>
      </x:c>
      <x:c r="B15" s="210"/>
      <x:c r="C15" s="210"/>
      <x:c r="D15" s="211" t="n">
        <x:f>1/(1+StressCases!$J$13)^1</x:f>
        <x:v>0.8695652173913044</x:v>
      </x:c>
      <x:c r="E15" s="211" t="n">
        <x:f>1/(1+StressCases!$J$13)^2</x:f>
        <x:v>0.7561436672967865</x:v>
      </x:c>
      <x:c r="F15" s="211" t="n">
        <x:f>1/(1+StressCases!$J$13)^3</x:f>
        <x:v>0.6575162324319883</x:v>
      </x:c>
      <x:c r="G15" s="211" t="n">
        <x:f>1/(1+StressCases!$J$13)^4</x:f>
        <x:v>0.5717532455930334</x:v>
      </x:c>
      <x:c r="H15" s="212" t="n">
        <x:f>1/(1+StressCases!$J$13)^5</x:f>
        <x:v>0.4971767352982899</x:v>
      </x:c>
      <x:c r="I15" s="193"/>
    </x:row>
    <x:row r="16" ht="15" hidden="0" customHeight="1">
      <x:c r="A16" s="213" t="str">
        <x:v>PV FCF, руб.</x:v>
      </x:c>
      <x:c r="B16" s="214"/>
      <x:c r="C16" s="214"/>
      <x:c r="D16" s="215" t="n">
        <x:f>D14*D15</x:f>
        <x:v>16784695.652173914</x:v>
      </x:c>
      <x:c r="E16" s="215" t="n">
        <x:f>E14*E15</x:f>
        <x:v>15987888.151228731</x:v>
      </x:c>
      <x:c r="F16" s="215" t="n">
        <x:f>F14*F15</x:f>
        <x:v>15211884.508651936</x:v>
      </x:c>
      <x:c r="G16" s="215" t="n">
        <x:f>G14*G15</x:f>
        <x:v>14458491.751807781</x:v>
      </x:c>
      <x:c r="H16" s="216" t="n">
        <x:f>H14*H15</x:f>
        <x:v>13729083.88754963</x:v>
      </x:c>
      <x:c r="I16" s="193"/>
    </x:row>
    <x:row r="17" ht="15" hidden="0" customHeight="1">
      <x:c r="A17" s="193"/>
      <x:c r="B17" s="193"/>
      <x:c r="C17" s="193"/>
      <x:c r="D17" s="193"/>
      <x:c r="E17" s="193"/>
      <x:c r="F17" s="193"/>
      <x:c r="G17" s="193"/>
      <x:c r="H17" s="193"/>
      <x:c r="I17" s="193"/>
    </x:row>
    <x:row r="18" ht="15" hidden="0" customHeight="1">
      <x:c r="A18" s="193"/>
      <x:c r="B18" s="193"/>
      <x:c r="C18" s="193"/>
      <x:c r="D18" s="193"/>
      <x:c r="E18" s="193"/>
      <x:c r="F18" s="193"/>
      <x:c r="G18" s="193"/>
      <x:c r="H18" s="193"/>
      <x:c r="I18" s="193"/>
    </x:row>
    <x:row r="19" ht="15" hidden="0" customHeight="1">
      <x:c r="A19" s="217" t="str">
        <x:v>Ключевые результаты активного stress test</x:v>
      </x:c>
      <x:c r="B19" s="217"/>
      <x:c r="C19" s="217"/>
      <x:c r="D19" s="217"/>
      <x:c r="E19" s="217"/>
      <x:c r="F19" s="193"/>
      <x:c r="G19" s="10" t="str">
        <x:v>Один KPI может давать неполную картину. Например, stress test может иметь положительную операционную прибыль в 2030 году, но отрицательный NPV из-за более ранних слабых потоков, CAPEX и ставки дисконтирования.</x:v>
      </x:c>
      <x:c r="H19" s="10"/>
      <x:c r="I19" s="10"/>
    </x:row>
    <x:row r="20" ht="15" hidden="0" customHeight="1">
      <x:c r="A20" s="106" t="str">
        <x:v>Показатель</x:v>
      </x:c>
      <x:c r="B20" s="107" t="str">
        <x:v>Значение</x:v>
      </x:c>
      <x:c r="C20" s="107" t="str">
        <x:v>Порог</x:v>
      </x:c>
      <x:c r="D20" s="107" t="str">
        <x:v>Статус</x:v>
      </x:c>
      <x:c r="E20" s="108" t="str">
        <x:v>Комментарий</x:v>
      </x:c>
      <x:c r="F20" s="193"/>
      <x:c r="G20" s="10"/>
      <x:c r="H20" s="10"/>
      <x:c r="I20" s="10"/>
    </x:row>
    <x:row r="21" ht="15" hidden="0" customHeight="1">
      <x:c r="A21" s="200" t="str">
        <x:v>Активный тест</x:v>
      </x:c>
      <x:c r="B21" s="218" t="str">
        <x:f>StressCases!B4</x:f>
        <x:v>База</x:v>
      </x:c>
      <x:c r="C21" s="210"/>
      <x:c r="D21" s="210" t="str"/>
      <x:c r="E21" s="219" t="str">
        <x:v>Из переключателя</x:v>
      </x:c>
      <x:c r="F21" s="193"/>
      <x:c r="G21" s="10"/>
      <x:c r="H21" s="10"/>
      <x:c r="I21" s="10"/>
    </x:row>
    <x:row r="22" ht="15" hidden="0" customHeight="1">
      <x:c r="A22" s="200" t="str">
        <x:v>NPV прогноза</x:v>
      </x:c>
      <x:c r="B22" s="202" t="n">
        <x:f>-StressCases!J12+SUM(D16:H16)</x:f>
        <x:v>46172043.95141199</x:v>
      </x:c>
      <x:c r="C22" s="202" t="n">
        <x:f>StressCases!B19</x:f>
        <x:v>0</x:v>
      </x:c>
      <x:c r="D22" s="210" t="str">
        <x:f>IF(B22&lt;0,"Неприемлемо",IF(B22&lt;StressCases!C19,"Ниже управленческого порога","Приемлемо"))</x:f>
        <x:v>Приемлемо</x:v>
      </x:c>
      <x:c r="E22" s="219" t="str">
        <x:v>CAPEX + PV прогнозных FCF</x:v>
      </x:c>
      <x:c r="F22" s="193"/>
      <x:c r="G22" s="10"/>
      <x:c r="H22" s="10"/>
      <x:c r="I22" s="10"/>
    </x:row>
    <x:row r="23" ht="15" hidden="0" customHeight="1">
      <x:c r="A23" s="200" t="str">
        <x:v>Операционная прибыль 2030</x:v>
      </x:c>
      <x:c r="B23" s="202" t="n">
        <x:f>H12</x:f>
        <x:v>34517614.44376673</x:v>
      </x:c>
      <x:c r="C23" s="202" t="n">
        <x:f>StressCases!B20</x:f>
        <x:v>0</x:v>
      </x:c>
      <x:c r="D23" s="210" t="str">
        <x:f>IF(B23&lt;C23,"Неприемлемо","Приемлемо")</x:f>
        <x:v>Приемлемо</x:v>
      </x:c>
      <x:c r="E23" s="219" t="str">
        <x:v>Минимальный порог 0</x:v>
      </x:c>
      <x:c r="F23" s="193"/>
      <x:c r="G23" s="10"/>
      <x:c r="H23" s="10"/>
      <x:c r="I23" s="10"/>
    </x:row>
    <x:row r="24" ht="15" hidden="0" customHeight="1">
      <x:c r="A24" s="200" t="str">
        <x:v>FCF 2030</x:v>
      </x:c>
      <x:c r="B24" s="202" t="n">
        <x:f>H14</x:f>
        <x:v>27614091.55501338</x:v>
      </x:c>
      <x:c r="C24" s="202" t="n">
        <x:f>StressCases!B21</x:f>
        <x:v>0</x:v>
      </x:c>
      <x:c r="D24" s="210" t="str">
        <x:f>IF(B24&lt;C24,"Неприемлемо","Приемлемо")</x:f>
        <x:v>Приемлемо</x:v>
      </x:c>
      <x:c r="E24" s="219" t="str">
        <x:v>Минимальный порог 0</x:v>
      </x:c>
      <x:c r="F24" s="193"/>
      <x:c r="G24" s="10"/>
      <x:c r="H24" s="10"/>
      <x:c r="I24" s="10"/>
    </x:row>
    <x:row r="25" ht="15" hidden="0" customHeight="1">
      <x:c r="A25" s="220" t="str">
        <x:v>Выручка 2030</x:v>
      </x:c>
      <x:c r="B25" s="221" t="n">
        <x:f>H8</x:f>
        <x:v>135401680.04872018</x:v>
      </x:c>
      <x:c r="C25" s="221"/>
      <x:c r="D25" s="222" t="str"/>
      <x:c r="E25" s="223" t="str">
        <x:v>Справочный KPI</x:v>
      </x:c>
      <x:c r="F25" s="193"/>
      <x:c r="G25" s="193"/>
      <x:c r="H25" s="193"/>
      <x:c r="I25" s="193"/>
    </x:row>
  </x:sheetData>
  <x:mergeCells>
    <x:mergeCell ref="A1:I1"/>
    <x:mergeCell ref="A2:I2"/>
    <x:mergeCell ref="A19:E19"/>
    <x:mergeCell ref="G19:I24"/>
  </x:mergeCells>
  <x:conditionalFormatting sqref="D22:D24">
    <x:cfRule type="expression" dxfId="0" priority="1">
      <x:formula>D22="Приемлемо"</x:formula>
    </x:cfRule>
    <x:cfRule type="expression" dxfId="1" priority="2">
      <x:formula>D22="Ниже управленческого порога"</x:formula>
    </x:cfRule>
    <x:cfRule type="expression" dxfId="2" priority="3">
      <x:formula>D22="Неприемлемо"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34" hidden="0" customWidth="1"/>
  </x:cols>
  <x:sheetData>
    <x:row r="1" ht="16.799999237060547" hidden="0" customHeight="1">
      <x:c r="A1" s="4" t="str">
        <x:v>СРАВНЕНИЕ STRESS TEST ПО KPI</x:v>
      </x:c>
      <x:c r="B1" s="4"/>
      <x:c r="C1" s="4"/>
      <x:c r="D1" s="4"/>
      <x:c r="E1" s="4"/>
      <x:c r="F1" s="4"/>
      <x:c r="G1" s="4"/>
      <x:c r="H1" s="4"/>
      <x:c r="I1" s="4"/>
    </x:row>
    <x:row r="2" ht="26.399999618530273" hidden="0" customHeight="1">
      <x:c r="A2" s="10" t="str">
        <x:v>Таблица заполняется в ходе практики: переключайте активный тест, переносите рассчитанные KPI как значения и сравнивайте статусы. Не создавайте отдельную копию расчетной модели для каждого stress test.</x:v>
      </x:c>
      <x:c r="B2" s="10"/>
      <x:c r="C2" s="10"/>
      <x:c r="D2" s="10"/>
      <x:c r="E2" s="10"/>
      <x:c r="F2" s="10"/>
      <x:c r="G2" s="10"/>
      <x:c r="H2" s="10"/>
      <x:c r="I2" s="10"/>
    </x:row>
    <x:row r="3"/>
    <x:row r="4" ht="26.399999618530273" hidden="0" customHeight="1">
      <x:c r="A4" s="78" t="str">
        <x:v>Stress test</x:v>
      </x:c>
      <x:c r="B4" s="79" t="str">
        <x:v>NPV</x:v>
      </x:c>
      <x:c r="C4" s="79" t="str">
        <x:v>Опер. прибыль 2030</x:v>
      </x:c>
      <x:c r="D4" s="79" t="str">
        <x:v>FCF 2030</x:v>
      </x:c>
      <x:c r="E4" s="79" t="str">
        <x:v>Выручка 2030</x:v>
      </x:c>
      <x:c r="F4" s="79" t="str">
        <x:v>NPV ≥ 0</x:v>
      </x:c>
      <x:c r="G4" s="79" t="str">
        <x:v>NPV ≥ 20 млн</x:v>
      </x:c>
      <x:c r="H4" s="79" t="str">
        <x:v>Опер. прибыль ≥ 0</x:v>
      </x:c>
      <x:c r="I4" s="80" t="str">
        <x:v>Вывод</x:v>
      </x:c>
    </x:row>
    <x:row r="5" ht="15" hidden="0" customHeight="1">
      <x:c r="A5" s="31" t="str">
        <x:v>База</x:v>
      </x:c>
      <x:c r="B5" s="83"/>
      <x:c r="C5" s="83"/>
      <x:c r="D5" s="83"/>
      <x:c r="E5" s="83"/>
      <x:c r="F5" s="81" t="str">
        <x:f>IF(B5="","",IF(B5&gt;=0,"Да","Нет"))</x:f>
      </x:c>
      <x:c r="G5" s="81" t="str">
        <x:f>IF(B5="","",IF(B5&gt;=StressCases!$C$19,"Да","Нет"))</x:f>
      </x:c>
      <x:c r="H5" s="81" t="str">
        <x:f>IF(C5="","",IF(C5&gt;=0,"Да","Нет"))</x:f>
      </x:c>
      <x:c r="I5" s="33"/>
    </x:row>
    <x:row r="6" ht="15" hidden="0" customHeight="1">
      <x:c r="A6" s="31" t="str">
        <x:v>Стресс спроса</x:v>
      </x:c>
      <x:c r="B6" s="83"/>
      <x:c r="C6" s="83"/>
      <x:c r="D6" s="83"/>
      <x:c r="E6" s="83"/>
      <x:c r="F6" s="81" t="str">
        <x:f>IF(B6="","",IF(B6&gt;=0,"Да","Нет"))</x:f>
      </x:c>
      <x:c r="G6" s="81" t="str">
        <x:f>IF(B6="","",IF(B6&gt;=StressCases!$C$19,"Да","Нет"))</x:f>
      </x:c>
      <x:c r="H6" s="81" t="str">
        <x:f>IF(C6="","",IF(C6&gt;=0,"Да","Нет"))</x:f>
      </x:c>
      <x:c r="I6" s="33"/>
    </x:row>
    <x:row r="7" ht="15" hidden="0" customHeight="1">
      <x:c r="A7" s="31" t="str">
        <x:v>Стресс маржи</x:v>
      </x:c>
      <x:c r="B7" s="83"/>
      <x:c r="C7" s="83"/>
      <x:c r="D7" s="83"/>
      <x:c r="E7" s="83"/>
      <x:c r="F7" s="81" t="str">
        <x:f>IF(B7="","",IF(B7&gt;=0,"Да","Нет"))</x:f>
      </x:c>
      <x:c r="G7" s="81" t="str">
        <x:f>IF(B7="","",IF(B7&gt;=StressCases!$C$19,"Да","Нет"))</x:f>
      </x:c>
      <x:c r="H7" s="81" t="str">
        <x:f>IF(C7="","",IF(C7&gt;=0,"Да","Нет"))</x:f>
      </x:c>
      <x:c r="I7" s="33"/>
    </x:row>
    <x:row r="8" ht="15" hidden="0" customHeight="1">
      <x:c r="A8" s="35" t="str">
        <x:v>Комбинированный стресс</x:v>
      </x:c>
      <x:c r="B8" s="109"/>
      <x:c r="C8" s="109"/>
      <x:c r="D8" s="109"/>
      <x:c r="E8" s="109"/>
      <x:c r="F8" s="84" t="str">
        <x:f>IF(B8="","",IF(B8&gt;=0,"Да","Нет"))</x:f>
      </x:c>
      <x:c r="G8" s="84" t="str">
        <x:f>IF(B8="","",IF(B8&gt;=StressCases!$C$19,"Да","Нет"))</x:f>
      </x:c>
      <x:c r="H8" s="84" t="str">
        <x:f>IF(C8="","",IF(C8&gt;=0,"Да","Нет"))</x:f>
      </x:c>
      <x:c r="I8" s="37"/>
    </x:row>
    <x:row r="9"/>
    <x:row r="10"/>
    <x:row r="11" ht="15" hidden="0" customHeight="1">
      <x:c r="A11" s="65" t="str">
        <x:v>Контрольные вопросы к сравнению</x:v>
      </x:c>
      <x:c r="B11" s="65"/>
      <x:c r="C11" s="65"/>
      <x:c r="D11" s="65"/>
      <x:c r="E11" s="65"/>
      <x:c r="F11" s="65"/>
      <x:c r="G11" s="65"/>
      <x:c r="H11" s="65"/>
      <x:c r="I11" s="65"/>
    </x:row>
    <x:row r="12" ht="15" hidden="0" customHeight="1">
      <x:c r="A12" s="193" t="str">
        <x:v>1</x:v>
      </x:c>
      <x:c r="B12" s="193" t="str">
        <x:v>Какой stress test впервые нарушает управленческий порог NPV 20 млн, но сохраняет NPV положительным?</x:v>
      </x:c>
      <x:c r="C12" s="193"/>
      <x:c r="D12" s="193"/>
      <x:c r="E12" s="193"/>
      <x:c r="F12" s="193"/>
      <x:c r="G12" s="193"/>
      <x:c r="H12" s="193"/>
      <x:c r="I12" s="193"/>
    </x:row>
    <x:row r="13" ht="15" hidden="0" customHeight="1">
      <x:c r="A13" s="193" t="str">
        <x:v>2</x:v>
      </x:c>
      <x:c r="B13" s="193" t="str">
        <x:v>Какой stress test имеет отрицательный NPV при еще положительной операционной прибыли 2030?</x:v>
      </x:c>
      <x:c r="C13" s="193"/>
      <x:c r="D13" s="193"/>
      <x:c r="E13" s="193"/>
      <x:c r="F13" s="193"/>
      <x:c r="G13" s="193"/>
      <x:c r="H13" s="193"/>
      <x:c r="I13" s="193"/>
    </x:row>
    <x:row r="14" ht="15" hidden="0" customHeight="1">
      <x:c r="A14" s="193" t="str">
        <x:v>3</x:v>
      </x:c>
      <x:c r="B14" s="193" t="str">
        <x:v>В каком stress test отрицательны и NPV, и операционная прибыль 2030?</x:v>
      </x:c>
      <x:c r="C14" s="193"/>
      <x:c r="D14" s="193"/>
      <x:c r="E14" s="193"/>
      <x:c r="F14" s="193"/>
      <x:c r="G14" s="193"/>
      <x:c r="H14" s="193"/>
      <x:c r="I14" s="193"/>
    </x:row>
    <x:row r="15" ht="15" hidden="0" customHeight="1">
      <x:c r="A15" s="193" t="str">
        <x:v>4</x:v>
      </x:c>
      <x:c r="B15" s="193" t="str">
        <x:v>Почему вывод по одному KPI может отличаться от вывода по другому?</x:v>
      </x:c>
      <x:c r="C15" s="193"/>
      <x:c r="D15" s="193"/>
      <x:c r="E15" s="193"/>
      <x:c r="F15" s="193"/>
      <x:c r="G15" s="193"/>
      <x:c r="H15" s="193"/>
      <x:c r="I15" s="193"/>
    </x:row>
    <x:row r="16" ht="15" hidden="0" customHeight="1">
      <x:c r="A16" s="193" t="str">
        <x:v>5</x:v>
      </x:c>
      <x:c r="B16" s="193" t="str">
        <x:v>Какой порог был задан заранее, а какой результат появился только после расчета?</x:v>
      </x:c>
      <x:c r="C16" s="193"/>
      <x:c r="D16" s="193"/>
      <x:c r="E16" s="193"/>
      <x:c r="F16" s="193"/>
      <x:c r="G16" s="193"/>
      <x:c r="H16" s="193"/>
      <x:c r="I16" s="193"/>
    </x:row>
  </x:sheetData>
  <x:mergeCells>
    <x:mergeCell ref="A1:I1"/>
    <x:mergeCell ref="A2:I2"/>
    <x:mergeCell ref="A11:I11"/>
    <x:mergeCell ref="B12:I12"/>
    <x:mergeCell ref="B13:I13"/>
    <x:mergeCell ref="B14:I14"/>
    <x:mergeCell ref="B15:I15"/>
    <x:mergeCell ref="B16:I16"/>
  </x:mergeCells>
  <x:conditionalFormatting sqref="F5:H8">
    <x:cfRule type="expression" dxfId="3" priority="1">
      <x:formula>F5="Да"</x:formula>
    </x:cfRule>
    <x:cfRule type="expression" dxfId="4" priority="2">
      <x:formula>F5="Нет"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8" hidden="0" customWidth="1"/>
    <x:col min="9" max="9" width="29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20" hidden="0" customWidth="1"/>
  </x:cols>
  <x:sheetData>
    <x:row r="1" ht="16.799999237060547" hidden="0" customHeight="1">
      <x:c r="A1" s="4" t="str">
        <x:v>REVERSE STRESS TESTING: ПОИСК ГРАНИЦЫ ПО ИНТЕНСИВНОСТИ ШОКА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15" hidden="0" customHeight="1">
      <x:c r="A2" s="10" t="str">
        <x:v>Reverse stress testing начинает расчет с неприемлемого результата и ищет условия, при которых он возникает. В учебном файле несколько неблагоприятных предпосылок объединены одним коэффициентом интенсивности k.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/>
    <x:row r="4" ht="15" hidden="0" customHeight="1">
      <x:c r="A4" s="50" t="str">
        <x:v>Параметр управления</x:v>
      </x:c>
      <x:c r="B4" s="52" t="str">
        <x:v>Значение</x:v>
      </x:c>
      <x:c r="H4" s="272" t="str">
        <x:v>Формула активной предпосылки:
Активное = База + k × (Полный стресс − База)
k = 0% — базовый вариант;
k = 100% — полный заданный стресс;
k &gt; 100% — усиление того же вектора.
k — индекс тяжести внутри модели, а не вероятность и не статистический процентиль.</x:v>
      </x:c>
      <x:c r="I4" s="272"/>
      <x:c r="J4" s="272"/>
      <x:c r="K4" s="272"/>
      <x:c r="L4" s="272"/>
      <x:c r="M4" s="272"/>
      <x:c r="N4" s="272"/>
    </x:row>
    <x:row r="5" ht="15" hidden="0" customHeight="1">
      <x:c r="A5" s="31" t="str">
        <x:v>Интенсивность стресса k</x:v>
      </x:c>
      <x:c r="B5" s="258" t="n">
        <x:v>0</x:v>
      </x:c>
      <x:c r="H5" s="272"/>
      <x:c r="I5" s="272"/>
      <x:c r="J5" s="272"/>
      <x:c r="K5" s="272"/>
      <x:c r="L5" s="272"/>
      <x:c r="M5" s="272"/>
      <x:c r="N5" s="272"/>
    </x:row>
    <x:row r="6" ht="15" hidden="0" customHeight="1">
      <x:c r="A6" s="35" t="str">
        <x:v>Целевой KPI для Goal Seek</x:v>
      </x:c>
      <x:c r="B6" s="37" t="str">
        <x:v>NPV</x:v>
      </x:c>
      <x:c r="H6" s="272"/>
      <x:c r="I6" s="272"/>
      <x:c r="J6" s="272"/>
      <x:c r="K6" s="272"/>
      <x:c r="L6" s="272"/>
      <x:c r="M6" s="272"/>
      <x:c r="N6" s="272"/>
    </x:row>
    <x:row r="7">
      <x:c r="H7" s="272"/>
      <x:c r="I7" s="272"/>
      <x:c r="J7" s="272"/>
      <x:c r="K7" s="272"/>
      <x:c r="L7" s="272"/>
      <x:c r="M7" s="272"/>
      <x:c r="N7" s="272"/>
    </x:row>
    <x:row r="8" ht="15" hidden="0" customHeight="1">
      <x:c r="A8" s="65" t="str">
        <x:v>Вектор полного стресса</x:v>
      </x:c>
      <x:c r="B8" s="65"/>
      <x:c r="C8" s="65"/>
      <x:c r="D8" s="65"/>
      <x:c r="E8" s="65"/>
      <x:c r="F8" s="65"/>
      <x:c r="H8" s="272"/>
      <x:c r="I8" s="272"/>
      <x:c r="J8" s="272"/>
      <x:c r="K8" s="272"/>
      <x:c r="L8" s="272"/>
      <x:c r="M8" s="272"/>
      <x:c r="N8" s="272"/>
    </x:row>
    <x:row r="9" ht="26.399999618530273" hidden="0" customHeight="1">
      <x:c r="A9" s="106" t="str">
        <x:v>Параметр</x:v>
      </x:c>
      <x:c r="B9" s="107" t="str">
        <x:v>База</x:v>
      </x:c>
      <x:c r="C9" s="107" t="str">
        <x:v>Полный стресс (k=100%)</x:v>
      </x:c>
      <x:c r="D9" s="107" t="str">
        <x:v>Изменение</x:v>
      </x:c>
      <x:c r="E9" s="107" t="str">
        <x:v>Активное значение</x:v>
      </x:c>
      <x:c r="F9" s="108" t="str">
        <x:v>Единица</x:v>
      </x:c>
    </x:row>
    <x:row r="10" ht="15" hidden="0" customHeight="1">
      <x:c r="A10" s="31" t="str">
        <x:v>Рост объема</x:v>
      </x:c>
      <x:c r="B10" s="266" t="n">
        <x:v>0.04</x:v>
      </x:c>
      <x:c r="C10" s="266" t="n">
        <x:v>-0.06</x:v>
      </x:c>
      <x:c r="D10" s="266" t="n">
        <x:f>C10-B10</x:f>
        <x:v>-0.1</x:v>
      </x:c>
      <x:c r="E10" s="100" t="n">
        <x:f>B10+$B$5*D10</x:f>
        <x:v>0.04</x:v>
      </x:c>
      <x:c r="F10" s="33" t="str">
        <x:v>%/год</x:v>
      </x:c>
    </x:row>
    <x:row r="11" ht="15" hidden="0" customHeight="1">
      <x:c r="A11" s="31" t="str">
        <x:v>Рост цены</x:v>
      </x:c>
      <x:c r="B11" s="266" t="n">
        <x:v>0.03</x:v>
      </x:c>
      <x:c r="C11" s="266" t="n">
        <x:v>0</x:v>
      </x:c>
      <x:c r="D11" s="266" t="n">
        <x:f>C11-B11</x:f>
        <x:v>-0.03</x:v>
      </x:c>
      <x:c r="E11" s="100" t="n">
        <x:f>B11+$B$5*D11</x:f>
        <x:v>0.03</x:v>
      </x:c>
      <x:c r="F11" s="33" t="str">
        <x:v>%/год</x:v>
      </x:c>
    </x:row>
    <x:row r="12" ht="15" hidden="0" customHeight="1">
      <x:c r="A12" s="31" t="str">
        <x:v>Рост переменных затрат</x:v>
      </x:c>
      <x:c r="B12" s="266" t="n">
        <x:v>0.03</x:v>
      </x:c>
      <x:c r="C12" s="266" t="n">
        <x:v>0.09</x:v>
      </x:c>
      <x:c r="D12" s="266" t="n">
        <x:f>C12-B12</x:f>
        <x:v>0.06</x:v>
      </x:c>
      <x:c r="E12" s="100" t="n">
        <x:f>B12+$B$5*D12</x:f>
        <x:v>0.03</x:v>
      </x:c>
      <x:c r="F12" s="33" t="str">
        <x:v>%/год</x:v>
      </x:c>
    </x:row>
    <x:row r="13" ht="15" hidden="0" customHeight="1">
      <x:c r="A13" s="31" t="str">
        <x:v>Рост постоянных затрат</x:v>
      </x:c>
      <x:c r="B13" s="266" t="n">
        <x:v>0.04</x:v>
      </x:c>
      <x:c r="C13" s="266" t="n">
        <x:v>0.08</x:v>
      </x:c>
      <x:c r="D13" s="266" t="n">
        <x:f>C13-B13</x:f>
        <x:v>0.04</x:v>
      </x:c>
      <x:c r="E13" s="100" t="n">
        <x:f>B13+$B$5*D13</x:f>
        <x:v>0.04</x:v>
      </x:c>
      <x:c r="F13" s="33" t="str">
        <x:v>%/год</x:v>
      </x:c>
    </x:row>
    <x:row r="14" ht="15" hidden="0" customHeight="1">
      <x:c r="A14" s="31" t="str">
        <x:v>CAPEX</x:v>
      </x:c>
      <x:c r="B14" s="53" t="n">
        <x:v>30000000</x:v>
      </x:c>
      <x:c r="C14" s="53" t="n">
        <x:v>35000000</x:v>
      </x:c>
      <x:c r="D14" s="53" t="n">
        <x:f>C14-B14</x:f>
        <x:v>5000000</x:v>
      </x:c>
      <x:c r="E14" s="101" t="n">
        <x:f>B14+$B$5*D14</x:f>
        <x:v>30000000</x:v>
      </x:c>
      <x:c r="F14" s="33" t="str">
        <x:v>руб.</x:v>
      </x:c>
    </x:row>
    <x:row r="15" ht="15" hidden="0" customHeight="1">
      <x:c r="A15" s="35" t="str">
        <x:v>Ставка дисконтирования</x:v>
      </x:c>
      <x:c r="B15" s="267" t="n">
        <x:v>0.15</x:v>
      </x:c>
      <x:c r="C15" s="267" t="n">
        <x:v>0.22</x:v>
      </x:c>
      <x:c r="D15" s="267" t="n">
        <x:f>C15-B15</x:f>
        <x:v>0.07</x:v>
      </x:c>
      <x:c r="E15" s="102" t="n">
        <x:f>B15+$B$5*D15</x:f>
        <x:v>0.15</x:v>
      </x:c>
      <x:c r="F15" s="37" t="str">
        <x:v>%</x:v>
      </x:c>
    </x:row>
    <x:row r="16"/>
    <x:row r="17"/>
    <x:row r="18" ht="15" hidden="0" customHeight="1">
      <x:c r="A18" s="65" t="str">
        <x:v>Расчет при текущем k</x:v>
      </x:c>
      <x:c r="B18" s="65"/>
      <x:c r="C18" s="65"/>
      <x:c r="D18" s="65"/>
      <x:c r="E18" s="65"/>
      <x:c r="F18" s="65"/>
      <x:c r="G18" s="65"/>
      <x:c r="I18" s="65" t="str">
        <x:v>KPI reverse stress</x:v>
      </x:c>
      <x:c r="J18" s="65"/>
      <x:c r="K18" s="65"/>
      <x:c r="L18" s="65"/>
      <x:c r="M18" s="65"/>
      <x:c r="N18" s="65"/>
    </x:row>
    <x:row r="19" ht="15" hidden="0" customHeight="1">
      <x:c r="A19" s="276" t="str">
        <x:v>Показатель</x:v>
      </x:c>
      <x:c r="B19" s="277" t="str">
        <x:v>2025 факт</x:v>
      </x:c>
      <x:c r="C19" s="277" t="str">
        <x:v>2026</x:v>
      </x:c>
      <x:c r="D19" s="277" t="str">
        <x:v>2027</x:v>
      </x:c>
      <x:c r="E19" s="277" t="str">
        <x:v>2028</x:v>
      </x:c>
      <x:c r="F19" s="277" t="str">
        <x:v>2029</x:v>
      </x:c>
      <x:c r="G19" s="278" t="str">
        <x:v>2030</x:v>
      </x:c>
      <x:c r="I19" s="106" t="str">
        <x:v>KPI</x:v>
      </x:c>
      <x:c r="J19" s="107" t="str">
        <x:v>Значение</x:v>
      </x:c>
      <x:c r="K19" s="107" t="str">
        <x:v>Порог</x:v>
      </x:c>
      <x:c r="L19" s="107" t="str">
        <x:v>Статус</x:v>
      </x:c>
      <x:c r="M19" s="107" t="str">
        <x:v>Goal Seek</x:v>
      </x:c>
      <x:c r="N19" s="108" t="str">
        <x:v>Изменяемая ячейка</x:v>
      </x:c>
    </x:row>
    <x:row r="20" ht="15" hidden="0" customHeight="1">
      <x:c r="A20" s="31" t="str">
        <x:v>Объем, ед.</x:v>
      </x:c>
      <x:c r="B20" s="53" t="n">
        <x:f>Fact!C5</x:f>
        <x:v>80000</x:v>
      </x:c>
      <x:c r="C20" s="53" t="n">
        <x:f>B20*(1+$E$10)</x:f>
        <x:v>83200</x:v>
      </x:c>
      <x:c r="D20" s="53" t="n">
        <x:f>C20*(1+$E$10)</x:f>
        <x:v>86528</x:v>
      </x:c>
      <x:c r="E20" s="53" t="n">
        <x:f>D20*(1+$E$10)</x:f>
        <x:v>89989.12000000001</x:v>
      </x:c>
      <x:c r="F20" s="53" t="n">
        <x:f>E20*(1+$E$10)</x:f>
        <x:v>93588.68480000002</x:v>
      </x:c>
      <x:c r="G20" s="139" t="n">
        <x:f>F20*(1+$E$10)</x:f>
        <x:v>97332.23219200002</x:v>
      </x:c>
      <x:c r="I20" s="31" t="str">
        <x:v>NPV прогноза</x:v>
      </x:c>
      <x:c r="J20" s="53" t="n">
        <x:f>-$E$14+SUM(C29:G29)</x:f>
        <x:v>46172043.95141199</x:v>
      </x:c>
      <x:c r="K20" s="53" t="n">
        <x:v>20000000</x:v>
      </x:c>
      <x:c r="L20" s="81" t="str">
        <x:f>IF(J20&gt;=K20,"Выше порога","Ниже порога")</x:f>
        <x:v>Выше порога</x:v>
      </x:c>
      <x:c r="M20" s="81" t="str">
        <x:v>Сначала 20 млн, затем 0</x:v>
      </x:c>
      <x:c r="N20" s="33" t="str">
        <x:v>B5</x:v>
      </x:c>
    </x:row>
    <x:row r="21" ht="15" hidden="0" customHeight="1">
      <x:c r="A21" s="31" t="str">
        <x:v>Цена, руб./ед.</x:v>
      </x:c>
      <x:c r="B21" s="141" t="n">
        <x:f>Fact!C6</x:f>
        <x:v>1200</x:v>
      </x:c>
      <x:c r="C21" s="141" t="n">
        <x:f>B21*(1+$E$11)</x:f>
        <x:v>1236</x:v>
      </x:c>
      <x:c r="D21" s="141" t="n">
        <x:f>C21*(1+$E$11)</x:f>
        <x:v>1273.08</x:v>
      </x:c>
      <x:c r="E21" s="141" t="n">
        <x:f>D21*(1+$E$11)</x:f>
        <x:v>1311.2724</x:v>
      </x:c>
      <x:c r="F21" s="141" t="n">
        <x:f>E21*(1+$E$11)</x:f>
        <x:v>1350.610572</x:v>
      </x:c>
      <x:c r="G21" s="142" t="n">
        <x:f>F21*(1+$E$11)</x:f>
        <x:v>1391.12888916</x:v>
      </x:c>
      <x:c r="I21" s="31" t="str">
        <x:v>NPV прогноза</x:v>
      </x:c>
      <x:c r="J21" s="53" t="n">
        <x:f>J20</x:f>
        <x:v>46172043.95141199</x:v>
      </x:c>
      <x:c r="K21" s="53" t="n">
        <x:v>0</x:v>
      </x:c>
      <x:c r="L21" s="81" t="str">
        <x:f>IF(J21&gt;=K21,"Положительный","Отрицательный")</x:f>
        <x:v>Положительный</x:v>
      </x:c>
      <x:c r="M21" s="81" t="str">
        <x:v>Целевая граница 0</x:v>
      </x:c>
      <x:c r="N21" s="33" t="str">
        <x:v>B5</x:v>
      </x:c>
    </x:row>
    <x:row r="22" ht="15" hidden="0" customHeight="1">
      <x:c r="A22" s="31" t="str">
        <x:v>Выручка, руб.</x:v>
      </x:c>
      <x:c r="B22" s="53" t="n">
        <x:f>B20*B21</x:f>
        <x:v>96000000</x:v>
      </x:c>
      <x:c r="C22" s="53" t="n">
        <x:f>C20*C21</x:f>
        <x:v>102835200</x:v>
      </x:c>
      <x:c r="D22" s="53" t="n">
        <x:f>D20*D21</x:f>
        <x:v>110157066.24</x:v>
      </x:c>
      <x:c r="E22" s="53" t="n">
        <x:f>E20*E21</x:f>
        <x:v>118000249.35628802</x:v>
      </x:c>
      <x:c r="F22" s="53" t="n">
        <x:f>F20*F21</x:f>
        <x:v>126401867.11045574</x:v>
      </x:c>
      <x:c r="G22" s="139" t="n">
        <x:f>G20*G21</x:f>
        <x:v>135401680.04872018</x:v>
      </x:c>
      <x:c r="I22" s="31" t="str">
        <x:v>Операционная прибыль 2030</x:v>
      </x:c>
      <x:c r="J22" s="53" t="n">
        <x:f>G26</x:f>
        <x:v>34517614.44376673</x:v>
      </x:c>
      <x:c r="K22" s="53" t="n">
        <x:v>0</x:v>
      </x:c>
      <x:c r="L22" s="81" t="str">
        <x:f>IF(J22&gt;=K22,"Положительная","Отрицательная")</x:f>
        <x:v>Положительная</x:v>
      </x:c>
      <x:c r="M22" s="81" t="str">
        <x:v>Целевая граница 0</x:v>
      </x:c>
      <x:c r="N22" s="33" t="str">
        <x:v>B5</x:v>
      </x:c>
    </x:row>
    <x:row r="23" ht="15" hidden="0" customHeight="1">
      <x:c r="A23" s="31" t="str">
        <x:v>Переменные затраты, руб./ед.</x:v>
      </x:c>
      <x:c r="B23" s="141" t="n">
        <x:f>Fact!C7</x:f>
        <x:v>700</x:v>
      </x:c>
      <x:c r="C23" s="141" t="n">
        <x:f>B23*(1+$E$12)</x:f>
        <x:v>721</x:v>
      </x:c>
      <x:c r="D23" s="141" t="n">
        <x:f>C23*(1+$E$12)</x:f>
        <x:v>742.63</x:v>
      </x:c>
      <x:c r="E23" s="141" t="n">
        <x:f>D23*(1+$E$12)</x:f>
        <x:v>764.9089</x:v>
      </x:c>
      <x:c r="F23" s="141" t="n">
        <x:f>E23*(1+$E$12)</x:f>
        <x:v>787.856167</x:v>
      </x:c>
      <x:c r="G23" s="142" t="n">
        <x:f>F23*(1+$E$12)</x:f>
        <x:v>811.49185201</x:v>
      </x:c>
      <x:c r="I23" s="31" t="str">
        <x:v>Выручка 2030</x:v>
      </x:c>
      <x:c r="J23" s="53" t="n">
        <x:f>G22</x:f>
        <x:v>135401680.04872018</x:v>
      </x:c>
      <x:c r="K23" s="53"/>
      <x:c r="L23" s="81" t="str"/>
      <x:c r="M23" s="81" t="str">
        <x:v>Справочно</x:v>
      </x:c>
      <x:c r="N23" s="33" t="str"/>
    </x:row>
    <x:row r="24" ht="15" hidden="0" customHeight="1">
      <x:c r="A24" s="31" t="str">
        <x:v>Переменные затраты, руб.</x:v>
      </x:c>
      <x:c r="B24" s="53" t="n">
        <x:f>B20*B23</x:f>
        <x:v>56000000</x:v>
      </x:c>
      <x:c r="C24" s="53" t="n">
        <x:f>C20*C23</x:f>
        <x:v>59987200</x:v>
      </x:c>
      <x:c r="D24" s="53" t="n">
        <x:f>D20*D23</x:f>
        <x:v>64258288.64</x:v>
      </x:c>
      <x:c r="E24" s="53" t="n">
        <x:f>E20*E23</x:f>
        <x:v>68833478.791168</x:v>
      </x:c>
      <x:c r="F24" s="53" t="n">
        <x:f>F20*F23</x:f>
        <x:v>73734422.48109917</x:v>
      </x:c>
      <x:c r="G24" s="139" t="n">
        <x:f>G20*G23</x:f>
        <x:v>78984313.36175345</x:v>
      </x:c>
      <x:c r="I24" s="35" t="str">
        <x:v>FCF 2030</x:v>
      </x:c>
      <x:c r="J24" s="54" t="n">
        <x:f>G28</x:f>
        <x:v>27614091.55501338</x:v>
      </x:c>
      <x:c r="K24" s="54" t="n">
        <x:v>0</x:v>
      </x:c>
      <x:c r="L24" s="84" t="str">
        <x:f>IF(J24&gt;=K24,"Положительный","Отрицательный")</x:f>
        <x:v>Положительный</x:v>
      </x:c>
      <x:c r="M24" s="84" t="str">
        <x:v>Справочно</x:v>
      </x:c>
      <x:c r="N24" s="37" t="str"/>
    </x:row>
    <x:row r="25" ht="15" hidden="0" customHeight="1">
      <x:c r="A25" s="31" t="str">
        <x:v>Постоянные затраты, руб.</x:v>
      </x:c>
      <x:c r="B25" s="53" t="n">
        <x:f>Fact!C8</x:f>
        <x:v>18000000</x:v>
      </x:c>
      <x:c r="C25" s="53" t="n">
        <x:f>B25*(1+$E$13)</x:f>
        <x:v>18720000</x:v>
      </x:c>
      <x:c r="D25" s="53" t="n">
        <x:f>C25*(1+$E$13)</x:f>
        <x:v>19468800</x:v>
      </x:c>
      <x:c r="E25" s="53" t="n">
        <x:f>D25*(1+$E$13)</x:f>
        <x:v>20247552</x:v>
      </x:c>
      <x:c r="F25" s="53" t="n">
        <x:f>E25*(1+$E$13)</x:f>
        <x:v>21057454.080000002</x:v>
      </x:c>
      <x:c r="G25" s="139" t="n">
        <x:f>F25*(1+$E$13)</x:f>
        <x:v>21899752.243200004</x:v>
      </x:c>
    </x:row>
    <x:row r="26" ht="15" hidden="0" customHeight="1">
      <x:c r="A26" s="31" t="str">
        <x:v>Операционная прибыль, руб.</x:v>
      </x:c>
      <x:c r="B26" s="53" t="n">
        <x:f>B22-B24-B25</x:f>
        <x:v>22000000</x:v>
      </x:c>
      <x:c r="C26" s="53" t="n">
        <x:f>C22-C24-C25</x:f>
        <x:v>24128000</x:v>
      </x:c>
      <x:c r="D26" s="53" t="n">
        <x:f>D22-D24-D25</x:f>
        <x:v>26429977.599999994</x:v>
      </x:c>
      <x:c r="E26" s="53" t="n">
        <x:f>E22-E24-E25</x:f>
        <x:v>28919218.56512001</x:v>
      </x:c>
      <x:c r="F26" s="53" t="n">
        <x:f>F22-F24-F25</x:f>
        <x:v>31609990.54935656</x:v>
      </x:c>
      <x:c r="G26" s="139" t="n">
        <x:f>G22-G24-G25</x:f>
        <x:v>34517614.44376673</x:v>
      </x:c>
    </x:row>
    <x:row r="27" ht="15" hidden="0" customHeight="1">
      <x:c r="A27" s="31" t="str">
        <x:v>Налог, руб.</x:v>
      </x:c>
      <x:c r="B27" s="53" t="n">
        <x:f>MAX(B26,0)*Fact!C9</x:f>
        <x:v>4400000</x:v>
      </x:c>
      <x:c r="C27" s="53" t="n">
        <x:f>MAX(C26,0)*Fact!C9</x:f>
        <x:v>4825600</x:v>
      </x:c>
      <x:c r="D27" s="53" t="n">
        <x:f>MAX(D26,0)*Fact!C9</x:f>
        <x:v>5285995.52</x:v>
      </x:c>
      <x:c r="E27" s="53" t="n">
        <x:f>MAX(E26,0)*Fact!C9</x:f>
        <x:v>5783843.7130240025</x:v>
      </x:c>
      <x:c r="F27" s="53" t="n">
        <x:f>MAX(F26,0)*Fact!C9</x:f>
        <x:v>6321998.109871313</x:v>
      </x:c>
      <x:c r="G27" s="139" t="n">
        <x:f>MAX(G26,0)*Fact!C9</x:f>
        <x:v>6903522.888753346</x:v>
      </x:c>
      <x:c r="I27" s="65" t="str">
        <x:v>Результаты Goal Seek — записать вручную</x:v>
      </x:c>
      <x:c r="J27" s="65"/>
      <x:c r="K27" s="65"/>
      <x:c r="L27" s="65"/>
      <x:c r="M27" s="65"/>
      <x:c r="N27" s="65"/>
    </x:row>
    <x:row r="28" ht="15" hidden="0" customHeight="1">
      <x:c r="A28" s="31" t="str">
        <x:v>FCF, руб.</x:v>
      </x:c>
      <x:c r="B28" s="53" t="n">
        <x:f>B26-B27</x:f>
        <x:v>17600000</x:v>
      </x:c>
      <x:c r="C28" s="53" t="n">
        <x:f>C26-C27</x:f>
        <x:v>19302400</x:v>
      </x:c>
      <x:c r="D28" s="53" t="n">
        <x:f>D26-D27</x:f>
        <x:v>21143982.079999994</x:v>
      </x:c>
      <x:c r="E28" s="53" t="n">
        <x:f>E26-E27</x:f>
        <x:v>23135374.85209601</x:v>
      </x:c>
      <x:c r="F28" s="53" t="n">
        <x:f>F26-F27</x:f>
        <x:v>25287992.43948525</x:v>
      </x:c>
      <x:c r="G28" s="139" t="n">
        <x:f>G26-G27</x:f>
        <x:v>27614091.55501338</x:v>
      </x:c>
      <x:c r="I28" s="50" t="str">
        <x:v>Граница</x:v>
      </x:c>
      <x:c r="J28" s="51" t="str">
        <x:v>Критический k</x:v>
      </x:c>
      <x:c r="K28" s="52" t="str">
        <x:v>Комментарий</x:v>
      </x:c>
      <x:c r="L28"/>
      <x:c r="M28"/>
      <x:c r="N28"/>
    </x:row>
    <x:row r="29" ht="15" hidden="0" customHeight="1">
      <x:c r="A29" s="35" t="str">
        <x:v>PV FCF, руб.</x:v>
      </x:c>
      <x:c r="B29" s="54"/>
      <x:c r="C29" s="54" t="n">
        <x:f>C28/(1+$E$15)^1</x:f>
        <x:v>16784695.652173914</x:v>
      </x:c>
      <x:c r="D29" s="54" t="n">
        <x:f>D28/(1+$E$15)^2</x:f>
        <x:v>15987888.151228731</x:v>
      </x:c>
      <x:c r="E29" s="54" t="n">
        <x:f>E28/(1+$E$15)^3</x:f>
        <x:v>15211884.508651938</x:v>
      </x:c>
      <x:c r="F29" s="54" t="n">
        <x:f>F28/(1+$E$15)^4</x:f>
        <x:v>14458491.751807781</x:v>
      </x:c>
      <x:c r="G29" s="145" t="n">
        <x:f>G28/(1+$E$15)^5</x:f>
        <x:v>13729083.88754963</x:v>
      </x:c>
      <x:c r="I29" s="31" t="str">
        <x:v>NPV = 20 млн</x:v>
      </x:c>
      <x:c r="J29" s="82"/>
      <x:c r="K29" s="33" t="str">
        <x:v>Первый управленческий порог</x:v>
      </x:c>
      <x:c r="L29"/>
      <x:c r="M29"/>
      <x:c r="N29"/>
    </x:row>
    <x:row r="30" ht="15" hidden="0" customHeight="1">
      <x:c r="I30" s="31" t="str">
        <x:v>NPV = 0</x:v>
      </x:c>
      <x:c r="J30" s="82"/>
      <x:c r="K30" s="33" t="str">
        <x:v>Экономическая граница</x:v>
      </x:c>
      <x:c r="L30"/>
      <x:c r="M30"/>
      <x:c r="N30"/>
    </x:row>
    <x:row r="31" ht="15" hidden="0" customHeight="1">
      <x:c r="I31" s="35" t="str">
        <x:v>Операционная прибыль 2030 = 0</x:v>
      </x:c>
      <x:c r="J31" s="282"/>
      <x:c r="K31" s="37" t="str">
        <x:v>Граница операционной устойчивости</x:v>
      </x:c>
      <x:c r="L31"/>
      <x:c r="M31"/>
      <x:c r="N31"/>
    </x:row>
    <x:row r="32">
      <x:c r="A32" s="10" t="str">
        <x:v>Порядок работы: 1) вернуть k = 0%; 2) Goal Seek по нужному KPI, изменяя B5; 3) записать найденный k в таблицу справа; 4) вернуть B5 к 0% перед следующим поиском. Не оставляйте рабочую модель в найденной критической точке.</x:v>
      </x:c>
      <x:c r="B32" s="10"/>
      <x:c r="C32" s="10"/>
      <x:c r="D32" s="10"/>
      <x:c r="E32" s="10"/>
      <x:c r="F32" s="10"/>
      <x:c r="G32" s="10"/>
    </x:row>
    <x:row r="33">
      <x:c r="A33" s="10"/>
      <x:c r="B33" s="10"/>
      <x:c r="C33" s="10"/>
      <x:c r="D33" s="10"/>
      <x:c r="E33" s="10"/>
      <x:c r="F33" s="10"/>
      <x:c r="G33" s="10"/>
    </x:row>
    <x:row r="34">
      <x:c r="A34" s="10"/>
      <x:c r="B34" s="10"/>
      <x:c r="C34" s="10"/>
      <x:c r="D34" s="10"/>
      <x:c r="E34" s="10"/>
      <x:c r="F34" s="10"/>
      <x:c r="G34" s="10"/>
    </x:row>
    <x:row r="35">
      <x:c r="A35" s="10"/>
      <x:c r="B35" s="10"/>
      <x:c r="C35" s="10"/>
      <x:c r="D35" s="10"/>
      <x:c r="E35" s="10"/>
      <x:c r="F35" s="10"/>
      <x:c r="G35" s="10"/>
    </x:row>
  </x:sheetData>
  <x:mergeCells>
    <x:mergeCell ref="A1:N1"/>
    <x:mergeCell ref="A2:N2"/>
    <x:mergeCell ref="A8:F8"/>
    <x:mergeCell ref="H4:N8"/>
    <x:mergeCell ref="A18:G18"/>
    <x:mergeCell ref="I18:N18"/>
    <x:mergeCell ref="I27:N27"/>
    <x:mergeCell ref="A32:G35"/>
  </x:mergeCells>
  <x:conditionalFormatting sqref="L20:L24">
    <x:cfRule type="expression" dxfId="5" priority="1">
      <x:formula>OR(L20="Выше порога",L20="Положительный",L20="Положительная")</x:formula>
    </x:cfRule>
    <x:cfRule type="expression" dxfId="6" priority="2">
      <x:formula>OR(L20="Ниже порога",L20="Отрицательный",L20="Отрицательная")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58" hidden="0" customWidth="1"/>
    <x:col min="3" max="3" width="35" hidden="0" customWidth="1"/>
    <x:col min="4" max="4" width="30" hidden="0" customWidth="1"/>
    <x:col min="5" max="5" width="13" hidden="0" customWidth="1"/>
    <x:col min="6" max="6" width="38" hidden="0" customWidth="1"/>
  </x:cols>
  <x:sheetData>
    <x:row r="1" ht="16.799999237060547" hidden="0" customHeight="1">
      <x:c r="A1" s="192" t="str">
        <x:v>ЗАДАНИЯ ЗАНЯТИЯ 5.2</x:v>
      </x:c>
      <x:c r="B1" s="192"/>
      <x:c r="C1" s="192"/>
      <x:c r="D1" s="192"/>
      <x:c r="E1" s="192"/>
      <x:c r="F1" s="192"/>
    </x:row>
    <x:row r="2" ht="15" hidden="0" customHeight="1">
      <x:c r="A2" s="10" t="str">
        <x:v>Работа выполняется в одном расчетном контуре. Stress test меняет предпосылки, но не историю и не формулы. Лист «Преподавателю» перед передачей группе удаляется.</x:v>
      </x:c>
      <x:c r="B2" s="10"/>
      <x:c r="C2" s="10"/>
      <x:c r="D2" s="10"/>
      <x:c r="E2" s="10"/>
      <x:c r="F2" s="10"/>
    </x:row>
    <x:row r="3" ht="15" hidden="0" customHeight="1">
      <x:c r="A3" s="193"/>
      <x:c r="B3" s="193"/>
      <x:c r="C3" s="193"/>
      <x:c r="D3" s="193"/>
      <x:c r="E3" s="193"/>
      <x:c r="F3" s="193"/>
    </x:row>
    <x:row r="4" ht="15" hidden="0" customHeight="1">
      <x:c r="A4" s="78" t="str">
        <x:v>№</x:v>
      </x:c>
      <x:c r="B4" s="79" t="str">
        <x:v>Задание</x:v>
      </x:c>
      <x:c r="C4" s="79" t="str">
        <x:v>Контроль</x:v>
      </x:c>
      <x:c r="D4" s="79" t="str">
        <x:v>Результат / вывод</x:v>
      </x:c>
      <x:c r="E4" s="79" t="str">
        <x:v>Статус</x:v>
      </x:c>
      <x:c r="F4" s="80" t="str">
        <x:v>Примечание</x:v>
      </x:c>
    </x:row>
    <x:row r="5" ht="26.399999618530273" hidden="0" customHeight="1">
      <x:c r="A5" s="200" t="n">
        <x:v>1</x:v>
      </x:c>
      <x:c r="B5" s="210" t="str">
        <x:v>Проверить исходную базу и заданные пороги.</x:v>
      </x:c>
      <x:c r="C5" s="210" t="str">
        <x:v>NPV базы ≈ 46,17 млн; управленческий порог = 20 млн</x:v>
      </x:c>
      <x:c r="D5" s="210"/>
      <x:c r="E5" s="210"/>
      <x:c r="F5" s="219" t="str">
        <x:v>Порог фиксируется до анализа.</x:v>
      </x:c>
    </x:row>
    <x:row r="6" ht="26.399999618530273" hidden="0" customHeight="1">
      <x:c r="A6" s="200" t="n">
        <x:v>2</x:v>
      </x:c>
      <x:c r="B6" s="210" t="str">
        <x:v>Разобрать три stress test и сформулировать причинную логику каждого без перечисления процентов.</x:v>
      </x:c>
      <x:c r="C6" s="210" t="str">
        <x:v>Спрос / маржа / комбинированный шок</x:v>
      </x:c>
      <x:c r="D6" s="210"/>
      <x:c r="E6" s="210"/>
      <x:c r="F6" s="219" t="str">
        <x:v>Stress test не обязан быть «наиболее вероятным».</x:v>
      </x:c>
    </x:row>
    <x:row r="7" ht="26.399999618530273" hidden="0" customHeight="1">
      <x:c r="A7" s="200" t="n">
        <x:v>3</x:v>
      </x:c>
      <x:c r="B7" s="210" t="str">
        <x:v>Переключить «Стресс спроса» и записать четыре KPI в таблицу KPI.</x:v>
      </x:c>
      <x:c r="C7" s="210" t="str">
        <x:v>NPV ≈ 10,49 млн; опер. прибыль 2030 ≈ 6,64 млн</x:v>
      </x:c>
      <x:c r="D7" s="210"/>
      <x:c r="E7" s="210"/>
      <x:c r="F7" s="219" t="str">
        <x:v>NPV положительный, но ниже 20 млн.</x:v>
      </x:c>
    </x:row>
    <x:row r="8" ht="26.399999618530273" hidden="0" customHeight="1">
      <x:c r="A8" s="200" t="n">
        <x:v>4</x:v>
      </x:c>
      <x:c r="B8" s="210" t="str">
        <x:v>Переключить «Стресс маржи» и записать KPI.</x:v>
      </x:c>
      <x:c r="C8" s="210" t="str">
        <x:v>NPV ≈ -0,84 млн; опер. прибыль 2030 ≈ +0,59 млн</x:v>
      </x:c>
      <x:c r="D8" s="210"/>
      <x:c r="E8" s="210"/>
      <x:c r="F8" s="219" t="str">
        <x:v>Разные KPI дают разные сигналы.</x:v>
      </x:c>
    </x:row>
    <x:row r="9" ht="26.399999618530273" hidden="0" customHeight="1">
      <x:c r="A9" s="200" t="n">
        <x:v>5</x:v>
      </x:c>
      <x:c r="B9" s="210" t="str">
        <x:v>Переключить комбинированный stress test.</x:v>
      </x:c>
      <x:c r="C9" s="210" t="str">
        <x:v>NPV ≈ -37,43 млн; опер. прибыль 2030 ≈ -19,23 млн</x:v>
      </x:c>
      <x:c r="D9" s="210"/>
      <x:c r="E9" s="210"/>
      <x:c r="F9" s="219" t="str">
        <x:v>Нарушены оба базовых критерия.</x:v>
      </x:c>
    </x:row>
    <x:row r="10" ht="26.399999618530273" hidden="0" customHeight="1">
      <x:c r="A10" s="200" t="n">
        <x:v>6</x:v>
      </x:c>
      <x:c r="B10" s="210" t="str">
        <x:v>Сравнить четыре строки KPI и сформулировать, почему одного показателя недостаточно.</x:v>
      </x:c>
      <x:c r="C10" s="210" t="str">
        <x:v>Не менее двух содержательных аргументов</x:v>
      </x:c>
      <x:c r="D10" s="210"/>
      <x:c r="E10" s="210"/>
      <x:c r="F10" s="219" t="str">
        <x:v>Сравнить уровень и момент возникновения проблем.</x:v>
      </x:c>
    </x:row>
    <x:row r="11" ht="26.399999618530273" hidden="0" customHeight="1">
      <x:c r="A11" s="200" t="n">
        <x:v>7</x:v>
      </x:c>
      <x:c r="B11" s="210" t="str">
        <x:v>На ReverseStress установить k = 25 %, 50 % и 100 % и проследить изменение NPV.</x:v>
      </x:c>
      <x:c r="C11" s="210" t="str">
        <x:v>≈ 19,76 млн; -1,99 млн; -37,43 млн</x:v>
      </x:c>
      <x:c r="D11" s="210"/>
      <x:c r="E11" s="210"/>
      <x:c r="F11" s="219" t="str">
        <x:v>k — индекс тяжести, не вероятность.</x:v>
      </x:c>
    </x:row>
    <x:row r="12" ht="15" hidden="0" customHeight="1">
      <x:c r="A12" s="200" t="n">
        <x:v>8</x:v>
      </x:c>
      <x:c r="B12" s="210" t="str">
        <x:v>Goal Seek: найти k, при котором NPV = 20 млн.</x:v>
      </x:c>
      <x:c r="C12" s="210" t="str">
        <x:v>≈ 24,75 %</x:v>
      </x:c>
      <x:c r="D12" s="210"/>
      <x:c r="E12" s="210"/>
      <x:c r="F12" s="219" t="str">
        <x:v>Результат записать, затем вернуть k = 0 %.</x:v>
      </x:c>
    </x:row>
    <x:row r="13" ht="15" hidden="0" customHeight="1">
      <x:c r="A13" s="200" t="n">
        <x:v>9</x:v>
      </x:c>
      <x:c r="B13" s="210" t="str">
        <x:v>Goal Seek: найти k, при котором NPV = 0.</x:v>
      </x:c>
      <x:c r="C13" s="210" t="str">
        <x:v>≈ 47,50 %</x:v>
      </x:c>
      <x:c r="D13" s="210"/>
      <x:c r="E13" s="210"/>
      <x:c r="F13" s="219" t="str">
        <x:v>Это reverse stress boundary по NPV.</x:v>
      </x:c>
    </x:row>
    <x:row r="14" ht="26.399999618530273" hidden="0" customHeight="1">
      <x:c r="A14" s="220" t="n">
        <x:v>10</x:v>
      </x:c>
      <x:c r="B14" s="222" t="str">
        <x:v>Повышенный уровень: найти k для операционной прибыли 2030 = 0 и сравнить с NPV-границей.</x:v>
      </x:c>
      <x:c r="C14" s="222" t="str">
        <x:v>≈ 55,77 %</x:v>
      </x:c>
      <x:c r="D14" s="222"/>
      <x:c r="E14" s="222"/>
      <x:c r="F14" s="223" t="str">
        <x:v>Разные KPI дают разные критические уровни.</x:v>
      </x:c>
    </x:row>
  </x:sheetData>
  <x:mergeCells>
    <x:mergeCell ref="A1:F1"/>
    <x:mergeCell ref="A2:F2"/>
  </x:mergeCells>
  <x:dataValidations count="1">
    <x:dataValidation type="list" sqref="E5:E14">
      <x:formula1>"Не начато,В работе,Готово"</x:formula1>
    </x:dataValidation>
  </x:dataValidations>
  <x:pageMargins left="0.7" right="0.7" top="0.75" bottom="0.75" header="0.3" footer="0.3"/>
</x:worksheet>
</file>