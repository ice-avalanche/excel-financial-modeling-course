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a1da0d5b8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" sheetId="1" r:id="R1888dcaf7f1c497c"/>
    <x:sheet xmlns:r="http://schemas.openxmlformats.org/officeDocument/2006/relationships" name="Scenarios" sheetId="2" r:id="R194d531ad53e458e"/>
    <x:sheet xmlns:r="http://schemas.openxmlformats.org/officeDocument/2006/relationships" name="Model" sheetId="3" r:id="Rba053d5f8d01437f"/>
    <x:sheet xmlns:r="http://schemas.openxmlformats.org/officeDocument/2006/relationships" name="Summary" sheetId="4" r:id="R0c19da197e554fa5"/>
    <x:sheet xmlns:r="http://schemas.openxmlformats.org/officeDocument/2006/relationships" name="Задания" sheetId="5" r:id="R2aefee425eb0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.00;[Red](#,##0.00);-"/>
    <x:numFmt numFmtId="202" formatCode="0.00%"/>
    <x:numFmt numFmtId="203" formatCode="0.0000"/>
  </x:numFmts>
  <x:fonts count="11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i/>
      <x:sz val="11"/>
      <x:color rgb="FF9C00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0" fontId="4" fillId="0" borderId="6" xfId="0" applyNumberFormat="1" applyFont="1" applyFill="1" applyBorder="1"/>
    <x:xf numFmtId="0" fontId="0" fillId="0" borderId="7" xfId="0" applyNumberFormat="1" applyFont="1" applyFill="1" applyBorder="1"/>
    <x:xf numFmtId="201" fontId="4" fillId="0" borderId="6" xfId="0" applyNumberFormat="1" applyFont="1" applyFill="1" applyBorder="1"/>
    <x:xf numFmtId="0" fontId="0" fillId="0" borderId="8" xfId="0" applyNumberFormat="1" applyFont="1" applyFill="1" applyBorder="1"/>
    <x:xf numFmtId="202" fontId="4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200" fontId="4" fillId="0" borderId="15" xfId="0" applyNumberFormat="1" applyFont="1" applyFill="1" applyBorder="1"/>
    <x:xf numFmtId="0" fontId="0" fillId="0" borderId="16" xfId="0" applyNumberFormat="1" applyFont="1" applyFill="1" applyBorder="1"/>
    <x:xf numFmtId="201" fontId="4" fillId="0" borderId="15" xfId="0" applyNumberFormat="1" applyFont="1" applyFill="1" applyBorder="1"/>
    <x:xf numFmtId="0" fontId="0" fillId="0" borderId="17" xfId="0" applyNumberFormat="1" applyFont="1" applyFill="1" applyBorder="1"/>
    <x:xf numFmtId="202" fontId="4" fillId="0" borderId="18" xfId="0" applyNumberFormat="1" applyFont="1" applyFill="1" applyBorder="1"/>
    <x:xf numFmtId="0" fontId="0" fillId="0" borderId="19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/>
    <x:xf numFmtId="202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0" fillId="0" borderId="9" xfId="0" applyNumberFormat="1" applyFont="1" applyFill="1" applyBorder="1"/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202" fontId="4" fillId="5" borderId="15" xfId="0" applyNumberFormat="1" applyFont="1" applyFill="1" applyBorder="1"/>
    <x:xf numFmtId="200" fontId="4" fillId="5" borderId="15" xfId="0" applyNumberFormat="1" applyFont="1" applyFill="1" applyBorder="1"/>
    <x:xf numFmtId="0" fontId="0" fillId="0" borderId="18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202" fontId="7" fillId="6" borderId="0" xfId="0" applyNumberFormat="1" applyFont="1" applyFill="1" applyBorder="1"/>
    <x:xf numFmtId="202" fontId="7" fillId="6" borderId="1" xfId="0" applyNumberFormat="1" applyFont="1" applyFill="1" applyBorder="1"/>
    <x:xf numFmtId="200" fontId="7" fillId="6" borderId="0" xfId="0" applyNumberFormat="1" applyFont="1" applyFill="1" applyBorder="1"/>
    <x:xf numFmtId="200" fontId="7" fillId="6" borderId="1" xfId="0" applyNumberFormat="1" applyFont="1" applyFill="1" applyBorder="1"/>
    <x:xf numFmtId="202" fontId="7" fillId="6" borderId="6" xfId="0" applyNumberFormat="1" applyFont="1" applyFill="1" applyBorder="1"/>
    <x:xf numFmtId="200" fontId="7" fillId="6" borderId="6" xfId="0" applyNumberFormat="1" applyFont="1" applyFill="1" applyBorder="1"/>
    <x:xf numFmtId="202" fontId="7" fillId="6" borderId="9" xfId="0" applyNumberFormat="1" applyFont="1" applyFill="1" applyBorder="1"/>
    <x:xf numFmtId="202" fontId="7" fillId="6" borderId="15" xfId="0" applyNumberFormat="1" applyFont="1" applyFill="1" applyBorder="1"/>
    <x:xf numFmtId="200" fontId="7" fillId="6" borderId="15" xfId="0" applyNumberFormat="1" applyFont="1" applyFill="1" applyBorder="1"/>
    <x:xf numFmtId="202" fontId="7" fillId="6" borderId="18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0" fillId="0" borderId="0" xfId="0" applyNumberFormat="1" applyFont="1" applyFill="1" applyBorder="1"/>
    <x:xf numFmtId="201" fontId="7" fillId="0" borderId="1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7" borderId="3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/>
    </x:xf>
    <x:xf numFmtId="0" fontId="8" fillId="2" borderId="5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horizontal="center"/>
    </x:xf>
    <x:xf numFmtId="0" fontId="8" fillId="2" borderId="7" xfId="0" applyNumberFormat="1" applyFont="1" applyFill="1" applyBorder="1" applyAlignment="1">
      <x:alignment horizontal="center"/>
    </x:xf>
    <x:xf numFmtId="200" fontId="7" fillId="0" borderId="6" xfId="0" applyNumberFormat="1" applyFont="1" applyFill="1" applyBorder="1"/>
    <x:xf numFmtId="200" fontId="0" fillId="0" borderId="7" xfId="0" applyNumberFormat="1" applyFont="1" applyFill="1" applyBorder="1"/>
    <x:xf numFmtId="201" fontId="7" fillId="0" borderId="6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3" fillId="7" borderId="12" xfId="0" applyNumberFormat="1" applyFont="1" applyFill="1" applyBorder="1" applyAlignment="1">
      <x:alignment horizontal="center"/>
    </x:xf>
    <x:xf numFmtId="0" fontId="3" fillId="8" borderId="12" xfId="0" applyNumberFormat="1" applyFont="1" applyFill="1" applyBorder="1" applyAlignment="1">
      <x:alignment horizontal="center"/>
    </x:xf>
    <x:xf numFmtId="0" fontId="3" fillId="8" borderId="13" xfId="0" applyNumberFormat="1" applyFont="1" applyFill="1" applyBorder="1" applyAlignment="1">
      <x:alignment horizontal="center"/>
    </x:xf>
    <x:xf numFmtId="0" fontId="8" fillId="2" borderId="14" xfId="0" applyNumberFormat="1" applyFont="1" applyFill="1" applyBorder="1" applyAlignment="1">
      <x:alignment horizontal="center"/>
    </x:xf>
    <x:xf numFmtId="0" fontId="8" fillId="2" borderId="15" xfId="0" applyNumberFormat="1" applyFont="1" applyFill="1" applyBorder="1" applyAlignment="1">
      <x:alignment horizontal="center"/>
    </x:xf>
    <x:xf numFmtId="0" fontId="8" fillId="2" borderId="16" xfId="0" applyNumberFormat="1" applyFont="1" applyFill="1" applyBorder="1" applyAlignment="1">
      <x:alignment horizontal="center"/>
    </x:xf>
    <x:xf numFmtId="200" fontId="7" fillId="0" borderId="15" xfId="0" applyNumberFormat="1" applyFont="1" applyFill="1" applyBorder="1"/>
    <x:xf numFmtId="200" fontId="0" fillId="0" borderId="16" xfId="0" applyNumberFormat="1" applyFont="1" applyFill="1" applyBorder="1"/>
    <x:xf numFmtId="201" fontId="7" fillId="0" borderId="15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0" fontId="0" fillId="0" borderId="19" xfId="0" applyNumberFormat="1" applyFont="1" applyFill="1" applyBorder="1"/>
    <x:xf numFmtId="0" fontId="0" fillId="6" borderId="5" xfId="0" applyNumberFormat="1" applyFont="1" applyFill="1" applyBorder="1"/>
    <x:xf numFmtId="200" fontId="0" fillId="6" borderId="6" xfId="0" applyNumberFormat="1" applyFont="1" applyFill="1" applyBorder="1"/>
    <x:xf numFmtId="200" fontId="0" fillId="6" borderId="7" xfId="0" applyNumberFormat="1" applyFont="1" applyFill="1" applyBorder="1"/>
    <x:xf numFmtId="0" fontId="3" fillId="6" borderId="5" xfId="0" applyNumberFormat="1" applyFont="1" applyFill="1" applyBorder="1"/>
    <x:xf numFmtId="200" fontId="3" fillId="6" borderId="6" xfId="0" applyNumberFormat="1" applyFont="1" applyFill="1" applyBorder="1"/>
    <x:xf numFmtId="200" fontId="3" fillId="6" borderId="7" xfId="0" applyNumberFormat="1" applyFont="1" applyFill="1" applyBorder="1"/>
    <x:xf numFmtId="0" fontId="0" fillId="6" borderId="14" xfId="0" applyNumberFormat="1" applyFont="1" applyFill="1" applyBorder="1"/>
    <x:xf numFmtId="200" fontId="0" fillId="6" borderId="15" xfId="0" applyNumberFormat="1" applyFont="1" applyFill="1" applyBorder="1"/>
    <x:xf numFmtId="200" fontId="0" fillId="6" borderId="16" xfId="0" applyNumberFormat="1" applyFont="1" applyFill="1" applyBorder="1"/>
    <x:xf numFmtId="0" fontId="3" fillId="6" borderId="14" xfId="0" applyNumberFormat="1" applyFont="1" applyFill="1" applyBorder="1"/>
    <x:xf numFmtId="200" fontId="3" fillId="6" borderId="15" xfId="0" applyNumberFormat="1" applyFont="1" applyFill="1" applyBorder="1"/>
    <x:xf numFmtId="200" fontId="3" fillId="6" borderId="16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200" fontId="0" fillId="9" borderId="9" xfId="0" applyNumberFormat="1" applyFont="1" applyFill="1" applyBorder="1"/>
    <x:xf numFmtId="200" fontId="0" fillId="9" borderId="10" xfId="0" applyNumberFormat="1" applyFont="1" applyFill="1" applyBorder="1"/>
    <x:xf numFmtId="0" fontId="3" fillId="9" borderId="8" xfId="0" applyNumberFormat="1" applyFont="1" applyFill="1" applyBorder="1"/>
    <x:xf numFmtId="0" fontId="3" fillId="9" borderId="9" xfId="0" applyNumberFormat="1" applyFont="1" applyFill="1" applyBorder="1"/>
    <x:xf numFmtId="200" fontId="3" fillId="9" borderId="9" xfId="0" applyNumberFormat="1" applyFont="1" applyFill="1" applyBorder="1"/>
    <x:xf numFmtId="200" fontId="3" fillId="9" borderId="10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200" fontId="0" fillId="9" borderId="18" xfId="0" applyNumberFormat="1" applyFont="1" applyFill="1" applyBorder="1"/>
    <x:xf numFmtId="200" fontId="0" fillId="9" borderId="19" xfId="0" applyNumberFormat="1" applyFont="1" applyFill="1" applyBorder="1"/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200" fontId="3" fillId="9" borderId="18" xfId="0" applyNumberFormat="1" applyFont="1" applyFill="1" applyBorder="1"/>
    <x:xf numFmtId="200" fontId="3" fillId="9" borderId="19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6" xfId="0" applyNumberFormat="1" applyFont="1" applyFill="1" applyBorder="1"/>
    <x:xf numFmtId="0" fontId="9" fillId="5" borderId="15" xfId="0" applyNumberFormat="1" applyFont="1" applyFill="1" applyBorder="1"/>
    <x:xf numFmtId="0" fontId="1" borderId="0" xfId="0" applyNumberFormat="1" applyFont="1" applyFill="0" applyBorder="1" applyAlignment="1">
      <x:alignment vertical="center"/>
    </x:xf>
    <x:xf numFmtId="0" fontId="1" borderId="1" xfId="0" applyNumberFormat="1" applyFont="1" applyFill="0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borderId="0" xfId="0" applyNumberFormat="1" applyFont="1" applyFill="0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8" fillId="2" borderId="5" xfId="0" applyNumberFormat="1" applyFont="1" applyFill="1" applyBorder="1" applyAlignment="1">
      <x:alignment horizontal="center" wrapText="1"/>
    </x:xf>
    <x:xf numFmtId="0" fontId="8" fillId="2" borderId="6" xfId="0" applyNumberFormat="1" applyFont="1" applyFill="1" applyBorder="1" applyAlignment="1">
      <x:alignment horizontal="center" wrapText="1"/>
    </x:xf>
    <x:xf numFmtId="0" fontId="8" fillId="2" borderId="7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200" fontId="7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7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200" fontId="3" fillId="6" borderId="6" xfId="0" applyNumberFormat="1" applyFont="1" applyFill="1" applyBorder="1" applyAlignment="1">
      <x:alignment wrapText="1"/>
    </x:xf>
    <x:xf numFmtId="200" fontId="3" fillId="6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3" fillId="9" borderId="8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wrapText="1"/>
    </x:xf>
    <x:xf numFmtId="200" fontId="3" fillId="9" borderId="9" xfId="0" applyNumberFormat="1" applyFont="1" applyFill="1" applyBorder="1" applyAlignment="1">
      <x:alignment wrapText="1"/>
    </x:xf>
    <x:xf numFmtId="200" fontId="3" fillId="9" borderId="1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borderId="1" xfId="0" applyNumberFormat="1" applyFont="1" applyFill="0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horizontal="center" wrapText="1"/>
    </x:xf>
    <x:xf numFmtId="0" fontId="3" fillId="8" borderId="12" xfId="0" applyNumberFormat="1" applyFont="1" applyFill="1" applyBorder="1" applyAlignment="1">
      <x:alignment horizontal="center" wrapText="1"/>
    </x:xf>
    <x:xf numFmtId="0" fontId="3" fillId="8" borderId="13" xfId="0" applyNumberFormat="1" applyFont="1" applyFill="1" applyBorder="1" applyAlignment="1">
      <x:alignment horizontal="center" wrapText="1"/>
    </x:xf>
    <x:xf numFmtId="0" fontId="8" fillId="2" borderId="14" xfId="0" applyNumberFormat="1" applyFont="1" applyFill="1" applyBorder="1" applyAlignment="1">
      <x:alignment horizontal="center" wrapText="1"/>
    </x:xf>
    <x:xf numFmtId="0" fontId="8" fillId="2" borderId="15" xfId="0" applyNumberFormat="1" applyFont="1" applyFill="1" applyBorder="1" applyAlignment="1">
      <x:alignment horizontal="center" wrapText="1"/>
    </x:xf>
    <x:xf numFmtId="0" fontId="8" fillId="2" borderId="16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200" fontId="7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7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200" fontId="3" fillId="6" borderId="15" xfId="0" applyNumberFormat="1" applyFont="1" applyFill="1" applyBorder="1" applyAlignment="1">
      <x:alignment wrapText="1"/>
    </x:xf>
    <x:xf numFmtId="200" fontId="3" fillId="6" borderId="1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200" fontId="3" fillId="9" borderId="18" xfId="0" applyNumberFormat="1" applyFont="1" applyFill="1" applyBorder="1" applyAlignment="1">
      <x:alignment wrapText="1"/>
    </x:xf>
    <x:xf numFmtId="200" fontId="3" fillId="9" borderId="19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3" fillId="9" borderId="0" xfId="0" applyNumberFormat="1" applyFont="1" applyFill="1" applyBorder="1"/>
    <x:xf numFmtId="200" fontId="3" fillId="9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200" fontId="3" fillId="9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e4e1ebfa64c27" /><Relationship Type="http://schemas.openxmlformats.org/officeDocument/2006/relationships/theme" Target="/xl/theme/theme1.xml" Id="Re3f8ea1456784899" /><Relationship Type="http://schemas.openxmlformats.org/officeDocument/2006/relationships/sharedStrings" Target="/xl/sharedStrings.xml" Id="R6ed1d185af5848e6" /><Relationship Type="http://schemas.openxmlformats.org/officeDocument/2006/relationships/worksheet" Target="/xl/worksheets/sheet1.xml" Id="R1888dcaf7f1c497c" /><Relationship Type="http://schemas.openxmlformats.org/officeDocument/2006/relationships/worksheet" Target="/xl/worksheets/sheet2.xml" Id="R194d531ad53e458e" /><Relationship Type="http://schemas.openxmlformats.org/officeDocument/2006/relationships/worksheet" Target="/xl/worksheets/sheet3.xml" Id="Rba053d5f8d01437f" /><Relationship Type="http://schemas.openxmlformats.org/officeDocument/2006/relationships/worksheet" Target="/xl/worksheets/sheet4.xml" Id="R0c19da197e554fa5" /><Relationship Type="http://schemas.openxmlformats.org/officeDocument/2006/relationships/worksheet" Target="/xl/worksheets/sheet5.xml" Id="R2aefee425eb0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27" hidden="0" customWidth="1"/>
  </x:cols>
  <x:sheetData>
    <x:row r="1" ht="16.799999237060547" hidden="0" customHeight="1">
      <x:c r="A1" s="4" t="str">
        <x:v>ФАКТИЧЕСКИЕ ДАННЫЕ</x:v>
      </x:c>
      <x:c r="B1" s="4"/>
      <x:c r="C1" s="4"/>
      <x:c r="D1" s="4"/>
    </x:row>
    <x:row r="2" ht="26.399999618530273" hidden="0" customHeight="1">
      <x:c r="A2" s="10" t="str">
        <x:v>Факт является отдельным слоем модели. Сценарий не должен изменять значения этого листа. В учебной книге приведены только показатели, необходимые для запуска прогноза.</x:v>
      </x:c>
      <x:c r="B2" s="10"/>
      <x:c r="C2" s="10"/>
      <x:c r="D2" s="10"/>
    </x:row>
    <x:row r="3"/>
    <x:row r="4" ht="15" hidden="0" customHeight="1">
      <x:c r="A4" s="28" t="str">
        <x:v>Показатель</x:v>
      </x:c>
      <x:c r="B4" s="29" t="str">
        <x:v>2024</x:v>
      </x:c>
      <x:c r="C4" s="29" t="str">
        <x:v>2025</x:v>
      </x:c>
      <x:c r="D4" s="30" t="str">
        <x:v>Единица</x:v>
      </x:c>
    </x:row>
    <x:row r="5" ht="15" hidden="0" customHeight="1">
      <x:c r="A5" s="31" t="str">
        <x:v>Объем продаж</x:v>
      </x:c>
      <x:c r="B5" s="32" t="n">
        <x:v>75000</x:v>
      </x:c>
      <x:c r="C5" s="32" t="n">
        <x:v>80000</x:v>
      </x:c>
      <x:c r="D5" s="33" t="str">
        <x:v>ед.</x:v>
      </x:c>
    </x:row>
    <x:row r="6" ht="15" hidden="0" customHeight="1">
      <x:c r="A6" s="31" t="str">
        <x:v>Цена</x:v>
      </x:c>
      <x:c r="B6" s="34" t="n">
        <x:v>1120</x:v>
      </x:c>
      <x:c r="C6" s="34" t="n">
        <x:v>1200</x:v>
      </x:c>
      <x:c r="D6" s="33" t="str">
        <x:v>руб./ед.</x:v>
      </x:c>
    </x:row>
    <x:row r="7" ht="15" hidden="0" customHeight="1">
      <x:c r="A7" s="31" t="str">
        <x:v>Переменные затраты</x:v>
      </x:c>
      <x:c r="B7" s="34" t="n">
        <x:v>660</x:v>
      </x:c>
      <x:c r="C7" s="34" t="n">
        <x:v>700</x:v>
      </x:c>
      <x:c r="D7" s="33" t="str">
        <x:v>руб./ед.</x:v>
      </x:c>
    </x:row>
    <x:row r="8" ht="15" hidden="0" customHeight="1">
      <x:c r="A8" s="31" t="str">
        <x:v>Постоянные затраты</x:v>
      </x:c>
      <x:c r="B8" s="32" t="n">
        <x:v>16500000</x:v>
      </x:c>
      <x:c r="C8" s="32" t="n">
        <x:v>18000000</x:v>
      </x:c>
      <x:c r="D8" s="33" t="str">
        <x:v>руб.</x:v>
      </x:c>
    </x:row>
    <x:row r="9" ht="15" hidden="0" customHeight="1">
      <x:c r="A9" s="35" t="str">
        <x:v>Налоговая ставка</x:v>
      </x:c>
      <x:c r="B9" s="36" t="n">
        <x:v>0.2</x:v>
      </x:c>
      <x:c r="C9" s="36" t="n">
        <x:v>0.2</x:v>
      </x:c>
      <x:c r="D9" s="37" t="str">
        <x:v>%</x:v>
      </x:c>
    </x:row>
    <x:row r="10"/>
    <x:row r="11"/>
    <x:row r="12" ht="15" hidden="0" customHeight="1">
      <x:c r="A12" s="49" t="str">
        <x:v>Контроль факта</x:v>
      </x:c>
      <x:c r="B12" s="49"/>
      <x:c r="C12" s="49"/>
      <x:c r="D12" s="49"/>
    </x:row>
    <x:row r="13" ht="15" hidden="0" customHeight="1">
      <x:c r="A13" s="54" t="str">
        <x:v>Показатель</x:v>
      </x:c>
      <x:c r="B13" s="55" t="str">
        <x:v>2024</x:v>
      </x:c>
      <x:c r="C13" s="55" t="str">
        <x:v>2025</x:v>
      </x:c>
      <x:c r="D13" s="56" t="str">
        <x:v>Комментарий</x:v>
      </x:c>
    </x:row>
    <x:row r="14" ht="15" hidden="0" customHeight="1">
      <x:c r="A14" s="31" t="str">
        <x:v>Выручка</x:v>
      </x:c>
      <x:c r="B14" s="57" t="n">
        <x:f>B5*B6</x:f>
        <x:v>84000000</x:v>
      </x:c>
      <x:c r="C14" s="57" t="n">
        <x:f>C5*C6</x:f>
        <x:v>96000000</x:v>
      </x:c>
      <x:c r="D14" s="33" t="str">
        <x:v>Для сверки с моделью</x:v>
      </x:c>
    </x:row>
    <x:row r="15" ht="15" hidden="0" customHeight="1">
      <x:c r="A15" s="35" t="str">
        <x:v>Операционная прибыль</x:v>
      </x:c>
      <x:c r="B15" s="58" t="n">
        <x:f>B14-B5*B7-B8</x:f>
        <x:v>18000000</x:v>
      </x:c>
      <x:c r="C15" s="58" t="n">
        <x:f>C14-C5*C7-C8</x:f>
        <x:v>22000000</x:v>
      </x:c>
      <x:c r="D15" s="37" t="str">
        <x:v>До налога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24" hidden="0" customWidth="1"/>
    <x:col min="4" max="4" width="24" hidden="0" customWidth="1"/>
    <x:col min="5" max="5" width="24" hidden="0" customWidth="1"/>
    <x:col min="6" max="6" width="31" hidden="0" customWidth="1"/>
    <x:col min="8" max="8" width="28" hidden="0" customWidth="1"/>
    <x:col min="9" max="9" width="18" hidden="0" customWidth="1"/>
    <x:col min="10" max="10" width="13" hidden="0" customWidth="1"/>
  </x:cols>
  <x:sheetData>
    <x:row r="1" ht="16.799999237060547" hidden="0" customHeight="1">
      <x:c r="A1" s="4" t="str">
        <x:v>СЦЕНАРНАЯ МАТРИЦА И ПЕРЕКЛЮЧАТЕЛЬ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10" t="str">
        <x:v>Сценарий — согласованный набор предпосылок, а не набор независимых экстремумов и не вероятность будущего состояния. Матрица содержит три учебных сценария; активный сценарий выбирается одной ячейкой.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/>
    <x:row r="4" ht="15" hidden="0" customHeight="1">
      <x:c r="A4" s="15" t="str">
        <x:v>Активный сценарий</x:v>
      </x:c>
      <x:c r="B4" s="65" t="str">
        <x:v>Базовый</x:v>
      </x:c>
    </x:row>
    <x:row r="5"/>
    <x:row r="6" ht="15" hidden="0" customHeight="1">
      <x:c r="A6" s="49" t="str">
        <x:v>Матрица предпосылок</x:v>
      </x:c>
      <x:c r="B6" s="49"/>
      <x:c r="C6" s="49"/>
      <x:c r="D6" s="49"/>
      <x:c r="E6" s="49"/>
      <x:c r="F6" s="49"/>
      <x:c r="H6" s="49" t="str">
        <x:v>Выбранные предпосылки</x:v>
      </x:c>
      <x:c r="I6" s="49"/>
      <x:c r="J6" s="49"/>
    </x:row>
    <x:row r="7" ht="15" hidden="0" customHeight="1">
      <x:c r="A7" s="78" t="str">
        <x:v>Параметр</x:v>
      </x:c>
      <x:c r="B7" s="79" t="str">
        <x:v>Единица</x:v>
      </x:c>
      <x:c r="C7" s="79" t="str">
        <x:v>Базовый</x:v>
      </x:c>
      <x:c r="D7" s="79" t="str">
        <x:v>Оптимистичный</x:v>
      </x:c>
      <x:c r="E7" s="79" t="str">
        <x:v>Пессимистичный</x:v>
      </x:c>
      <x:c r="F7" s="80" t="str">
        <x:v>Логика параметра</x:v>
      </x:c>
      <x:c r="H7" s="28" t="str">
        <x:v>Параметр</x:v>
      </x:c>
      <x:c r="I7" s="29" t="str">
        <x:v>Значение</x:v>
      </x:c>
      <x:c r="J7" s="30" t="str">
        <x:v>Единица</x:v>
      </x:c>
    </x:row>
    <x:row r="8" ht="15" hidden="0" customHeight="1">
      <x:c r="A8" s="31" t="str">
        <x:v>Рост объема</x:v>
      </x:c>
      <x:c r="B8" s="81" t="str">
        <x:v>%/год</x:v>
      </x:c>
      <x:c r="C8" s="82" t="n">
        <x:v>0.04</x:v>
      </x:c>
      <x:c r="D8" s="82" t="n">
        <x:v>0.08</x:v>
      </x:c>
      <x:c r="E8" s="82" t="n">
        <x:v>-0.02</x:v>
      </x:c>
      <x:c r="F8" s="33" t="str">
        <x:v>Спрос / загрузка</x:v>
      </x:c>
      <x:c r="H8" s="31" t="str">
        <x:v>Рост объема</x:v>
      </x:c>
      <x:c r="I8" s="100" t="n">
        <x:f>XLOOKUP($B$4,$C$7:$E$7,$C$8:$E$8)</x:f>
        <x:v>0.04</x:v>
      </x:c>
      <x:c r="J8" s="33" t="str">
        <x:v>%/год</x:v>
      </x:c>
    </x:row>
    <x:row r="9" ht="15" hidden="0" customHeight="1">
      <x:c r="A9" s="31" t="str">
        <x:v>Рост цены</x:v>
      </x:c>
      <x:c r="B9" s="81" t="str">
        <x:v>%/год</x:v>
      </x:c>
      <x:c r="C9" s="82" t="n">
        <x:v>0.03</x:v>
      </x:c>
      <x:c r="D9" s="82" t="n">
        <x:v>0.06</x:v>
      </x:c>
      <x:c r="E9" s="82" t="n">
        <x:v>0</x:v>
      </x:c>
      <x:c r="F9" s="33" t="str">
        <x:v>Рыночная цена</x:v>
      </x:c>
      <x:c r="H9" s="31" t="str">
        <x:v>Рост цены</x:v>
      </x:c>
      <x:c r="I9" s="100" t="n">
        <x:f>XLOOKUP($B$4,$C$7:$E$7,$C$9:$E$9)</x:f>
        <x:v>0.03</x:v>
      </x:c>
      <x:c r="J9" s="33" t="str">
        <x:v>%/год</x:v>
      </x:c>
    </x:row>
    <x:row r="10" ht="15" hidden="0" customHeight="1">
      <x:c r="A10" s="31" t="str">
        <x:v>Рост переменных затрат</x:v>
      </x:c>
      <x:c r="B10" s="81" t="str">
        <x:v>%/год</x:v>
      </x:c>
      <x:c r="C10" s="82" t="n">
        <x:v>0.03</x:v>
      </x:c>
      <x:c r="D10" s="82" t="n">
        <x:v>0.01</x:v>
      </x:c>
      <x:c r="E10" s="82" t="n">
        <x:v>0.07</x:v>
      </x:c>
      <x:c r="F10" s="33" t="str">
        <x:v>Себестоимость единицы</x:v>
      </x:c>
      <x:c r="H10" s="31" t="str">
        <x:v>Рост переменных затрат</x:v>
      </x:c>
      <x:c r="I10" s="100" t="n">
        <x:f>XLOOKUP($B$4,$C$7:$E$7,$C$10:$E$10)</x:f>
        <x:v>0.03</x:v>
      </x:c>
      <x:c r="J10" s="33" t="str">
        <x:v>%/год</x:v>
      </x:c>
    </x:row>
    <x:row r="11" ht="15" hidden="0" customHeight="1">
      <x:c r="A11" s="31" t="str">
        <x:v>Рост постоянных затрат</x:v>
      </x:c>
      <x:c r="B11" s="81" t="str">
        <x:v>%/год</x:v>
      </x:c>
      <x:c r="C11" s="82" t="n">
        <x:v>0.04</x:v>
      </x:c>
      <x:c r="D11" s="82" t="n">
        <x:v>0.03</x:v>
      </x:c>
      <x:c r="E11" s="82" t="n">
        <x:v>0.07</x:v>
      </x:c>
      <x:c r="F11" s="33" t="str">
        <x:v>Инфляция и инфраструктура</x:v>
      </x:c>
      <x:c r="H11" s="31" t="str">
        <x:v>Рост постоянных затрат</x:v>
      </x:c>
      <x:c r="I11" s="100" t="n">
        <x:f>XLOOKUP($B$4,$C$7:$E$7,$C$11:$E$11)</x:f>
        <x:v>0.04</x:v>
      </x:c>
      <x:c r="J11" s="33" t="str">
        <x:v>%/год</x:v>
      </x:c>
    </x:row>
    <x:row r="12" ht="15" hidden="0" customHeight="1">
      <x:c r="A12" s="31" t="str">
        <x:v>CAPEX на старте прогноза</x:v>
      </x:c>
      <x:c r="B12" s="81" t="str">
        <x:v>руб.</x:v>
      </x:c>
      <x:c r="C12" s="83" t="n">
        <x:v>30000000</x:v>
      </x:c>
      <x:c r="D12" s="83" t="n">
        <x:v>38000000</x:v>
      </x:c>
      <x:c r="E12" s="83" t="n">
        <x:v>25000000</x:v>
      </x:c>
      <x:c r="F12" s="33" t="str">
        <x:v>Инвестиционная программа</x:v>
      </x:c>
      <x:c r="H12" s="31" t="str">
        <x:v>CAPEX</x:v>
      </x:c>
      <x:c r="I12" s="101" t="n">
        <x:f>XLOOKUP($B$4,$C$7:$E$7,$C$12:$E$12)</x:f>
        <x:v>30000000</x:v>
      </x:c>
      <x:c r="J12" s="33" t="str">
        <x:v>руб.</x:v>
      </x:c>
    </x:row>
    <x:row r="13" ht="15" hidden="0" customHeight="1">
      <x:c r="A13" s="31" t="str">
        <x:v>Ставка дисконтирования</x:v>
      </x:c>
      <x:c r="B13" s="81" t="str">
        <x:v>%</x:v>
      </x:c>
      <x:c r="C13" s="82" t="n">
        <x:v>0.15</x:v>
      </x:c>
      <x:c r="D13" s="82" t="n">
        <x:v>0.13</x:v>
      </x:c>
      <x:c r="E13" s="82" t="n">
        <x:v>0.18</x:v>
      </x:c>
      <x:c r="F13" s="33" t="str">
        <x:v>Требуемая доходность / риск</x:v>
      </x:c>
      <x:c r="H13" s="35" t="str">
        <x:v>Ставка дисконтирования</x:v>
      </x:c>
      <x:c r="I13" s="102" t="n">
        <x:f>XLOOKUP($B$4,$C$7:$E$7,$C$13:$E$13)</x:f>
        <x:v>0.15</x:v>
      </x:c>
      <x:c r="J13" s="37" t="str">
        <x:v>%</x:v>
      </x:c>
    </x:row>
    <x:row r="14" ht="54" hidden="0" customHeight="1">
      <x:c r="A14" s="35" t="str">
        <x:v>Описание</x:v>
      </x:c>
      <x:c r="B14" s="84" t="str"/>
      <x:c r="C14" s="285" t="str">
        <x:v>Продолжение текущей траектории</x:v>
      </x:c>
      <x:c r="D14" s="285" t="str">
        <x:v>Ускорение спроса и цены при расширенной инвестпрограмме</x:v>
      </x:c>
      <x:c r="E14" s="285" t="str">
        <x:v>Сжатие спроса и ускорение затрат</x:v>
      </x:c>
      <x:c r="F14" s="285" t="str">
        <x:v>Содержательная рамка сценария</x:v>
      </x:c>
    </x:row>
    <x:row r="15">
      <x:c r="H15" s="10" t="str">
        <x:v>Контроль переключателя: изменение B4 должно менять только выбранные предпосылки и прогноз. Факт 2024–2025 на листе Fact остается неизменным.</x:v>
      </x:c>
      <x:c r="I15" s="10"/>
      <x:c r="J15" s="10"/>
    </x:row>
    <x:row r="16">
      <x:c r="H16" s="10"/>
      <x:c r="I16" s="10"/>
      <x:c r="J16" s="10"/>
    </x:row>
    <x:row r="17">
      <x:c r="H17" s="10"/>
      <x:c r="I17" s="10"/>
      <x:c r="J17" s="10"/>
    </x:row>
  </x:sheetData>
  <x:mergeCells>
    <x:mergeCell ref="A1:J1"/>
    <x:mergeCell ref="A2:J2"/>
    <x:mergeCell ref="A6:F6"/>
    <x:mergeCell ref="H6:J6"/>
    <x:mergeCell ref="H15:J17"/>
  </x:mergeCells>
  <x:dataValidations count="1">
    <x:dataValidation type="list" sqref="B4">
      <x:formula1>"Базовый,Оптимистичный,Пессимистичный"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6.799999237060547" hidden="0" customHeight="1">
      <x:c r="A1" s="186" t="str">
        <x:v>МОДЕЛЬ: ФАКТ И ПРОГНОЗ В ОДНОЙ ВРЕМЕННОЙ ОСИ</x:v>
      </x:c>
      <x:c r="B1" s="186"/>
      <x:c r="C1" s="186"/>
      <x:c r="D1" s="187"/>
      <x:c r="E1" s="187"/>
      <x:c r="F1" s="187"/>
      <x:c r="G1" s="187"/>
      <x:c r="H1" s="187"/>
      <x:c r="I1" s="186"/>
    </x:row>
    <x:row r="2" ht="26.399999618530273" hidden="0" customHeight="1">
      <x:c r="A2" s="10" t="str">
        <x:v>Исторические годы подтягиваются из Fact и не зависят от сценария. Прогноз начинается с 2026 года и рассчитывается от последнего фактического года через выбранные предпосылки.</x:v>
      </x:c>
      <x:c r="B2" s="10"/>
      <x:c r="C2" s="10"/>
      <x:c r="D2" s="10"/>
      <x:c r="E2" s="10"/>
      <x:c r="F2" s="10"/>
      <x:c r="G2" s="10"/>
      <x:c r="H2" s="10"/>
      <x:c r="I2" s="10"/>
    </x:row>
    <x:row r="3" ht="15" hidden="0" customHeight="1">
      <x:c r="A3" s="188"/>
      <x:c r="B3" s="188"/>
      <x:c r="C3" s="188"/>
      <x:c r="D3" s="188"/>
      <x:c r="E3" s="188"/>
      <x:c r="F3" s="188"/>
      <x:c r="G3" s="188"/>
      <x:c r="H3" s="188"/>
      <x:c r="I3" s="188"/>
    </x:row>
    <x:row r="4" ht="15" hidden="0" customHeight="1">
      <x:c r="A4" s="78" t="str">
        <x:v>Тип периода</x:v>
      </x:c>
      <x:c r="B4" s="189" t="str">
        <x:v>Факт</x:v>
      </x:c>
      <x:c r="C4" s="189" t="str">
        <x:v>Факт</x:v>
      </x:c>
      <x:c r="D4" s="190" t="str">
        <x:v>Прогноз</x:v>
      </x:c>
      <x:c r="E4" s="190" t="str">
        <x:v>Прогноз</x:v>
      </x:c>
      <x:c r="F4" s="190" t="str">
        <x:v>Прогноз</x:v>
      </x:c>
      <x:c r="G4" s="190" t="str">
        <x:v>Прогноз</x:v>
      </x:c>
      <x:c r="H4" s="191" t="str">
        <x:v>Прогноз</x:v>
      </x:c>
      <x:c r="I4" s="188"/>
    </x:row>
    <x:row r="5" ht="15" hidden="0" customHeight="1">
      <x:c r="A5" s="192" t="str">
        <x:v>Показатель</x:v>
      </x:c>
      <x:c r="B5" s="193" t="n">
        <x:v>2024</x:v>
      </x:c>
      <x:c r="C5" s="193" t="n">
        <x:v>2025</x:v>
      </x:c>
      <x:c r="D5" s="193" t="n">
        <x:v>2026</x:v>
      </x:c>
      <x:c r="E5" s="193" t="n">
        <x:v>2027</x:v>
      </x:c>
      <x:c r="F5" s="193" t="n">
        <x:v>2028</x:v>
      </x:c>
      <x:c r="G5" s="193" t="n">
        <x:v>2029</x:v>
      </x:c>
      <x:c r="H5" s="194" t="n">
        <x:v>2030</x:v>
      </x:c>
      <x:c r="I5" s="188"/>
    </x:row>
    <x:row r="6" ht="15" hidden="0" customHeight="1">
      <x:c r="A6" s="195" t="str">
        <x:v>Объем, ед.</x:v>
      </x:c>
      <x:c r="B6" s="196" t="n">
        <x:f>Fact!B5</x:f>
        <x:v>75000</x:v>
      </x:c>
      <x:c r="C6" s="196" t="n">
        <x:f>Fact!C5</x:f>
        <x:v>80000</x:v>
      </x:c>
      <x:c r="D6" s="197" t="n">
        <x:f>C6*(1+Scenarios!$I$8)</x:f>
        <x:v>83200</x:v>
      </x:c>
      <x:c r="E6" s="197" t="n">
        <x:f>D6*(1+Scenarios!$I$8)</x:f>
        <x:v>86528</x:v>
      </x:c>
      <x:c r="F6" s="197" t="n">
        <x:f>E6*(1+Scenarios!$I$8)</x:f>
        <x:v>89989.12000000001</x:v>
      </x:c>
      <x:c r="G6" s="197" t="n">
        <x:f>F6*(1+Scenarios!$I$8)</x:f>
        <x:v>93588.68480000002</x:v>
      </x:c>
      <x:c r="H6" s="198" t="n">
        <x:f>G6*(1+Scenarios!$I$8)</x:f>
        <x:v>97332.23219200002</x:v>
      </x:c>
      <x:c r="I6" s="188"/>
    </x:row>
    <x:row r="7" ht="15" hidden="0" customHeight="1">
      <x:c r="A7" s="195" t="str">
        <x:v>Цена, руб./ед.</x:v>
      </x:c>
      <x:c r="B7" s="199" t="n">
        <x:f>Fact!B6</x:f>
        <x:v>1120</x:v>
      </x:c>
      <x:c r="C7" s="199" t="n">
        <x:f>Fact!C6</x:f>
        <x:v>1200</x:v>
      </x:c>
      <x:c r="D7" s="200" t="n">
        <x:f>C7*(1+Scenarios!$I$9)</x:f>
        <x:v>1236</x:v>
      </x:c>
      <x:c r="E7" s="200" t="n">
        <x:f>D7*(1+Scenarios!$I$9)</x:f>
        <x:v>1273.08</x:v>
      </x:c>
      <x:c r="F7" s="200" t="n">
        <x:f>E7*(1+Scenarios!$I$9)</x:f>
        <x:v>1311.2724</x:v>
      </x:c>
      <x:c r="G7" s="200" t="n">
        <x:f>F7*(1+Scenarios!$I$9)</x:f>
        <x:v>1350.610572</x:v>
      </x:c>
      <x:c r="H7" s="201" t="n">
        <x:f>G7*(1+Scenarios!$I$9)</x:f>
        <x:v>1391.12888916</x:v>
      </x:c>
      <x:c r="I7" s="188"/>
    </x:row>
    <x:row r="8" ht="15" hidden="0" customHeight="1">
      <x:c r="A8" s="195" t="str">
        <x:v>Выручка, руб.</x:v>
      </x:c>
      <x:c r="B8" s="197" t="n">
        <x:f>B6*B7</x:f>
        <x:v>84000000</x:v>
      </x:c>
      <x:c r="C8" s="197" t="n">
        <x:f>C6*C7</x:f>
        <x:v>96000000</x:v>
      </x:c>
      <x:c r="D8" s="197" t="n">
        <x:f>D6*D7</x:f>
        <x:v>102835200</x:v>
      </x:c>
      <x:c r="E8" s="197" t="n">
        <x:f>E6*E7</x:f>
        <x:v>110157066.24</x:v>
      </x:c>
      <x:c r="F8" s="197" t="n">
        <x:f>F6*F7</x:f>
        <x:v>118000249.35628802</x:v>
      </x:c>
      <x:c r="G8" s="197" t="n">
        <x:f>G6*G7</x:f>
        <x:v>126401867.11045574</x:v>
      </x:c>
      <x:c r="H8" s="198" t="n">
        <x:f>H6*H7</x:f>
        <x:v>135401680.04872018</x:v>
      </x:c>
      <x:c r="I8" s="188"/>
    </x:row>
    <x:row r="9" ht="15" hidden="0" customHeight="1">
      <x:c r="A9" s="195" t="str">
        <x:v>Переменные затраты, руб./ед.</x:v>
      </x:c>
      <x:c r="B9" s="199" t="n">
        <x:f>Fact!B7</x:f>
        <x:v>660</x:v>
      </x:c>
      <x:c r="C9" s="199" t="n">
        <x:f>Fact!C7</x:f>
        <x:v>700</x:v>
      </x:c>
      <x:c r="D9" s="200" t="n">
        <x:f>C9*(1+Scenarios!$I$10)</x:f>
        <x:v>721</x:v>
      </x:c>
      <x:c r="E9" s="200" t="n">
        <x:f>D9*(1+Scenarios!$I$10)</x:f>
        <x:v>742.63</x:v>
      </x:c>
      <x:c r="F9" s="200" t="n">
        <x:f>E9*(1+Scenarios!$I$10)</x:f>
        <x:v>764.9089</x:v>
      </x:c>
      <x:c r="G9" s="200" t="n">
        <x:f>F9*(1+Scenarios!$I$10)</x:f>
        <x:v>787.856167</x:v>
      </x:c>
      <x:c r="H9" s="201" t="n">
        <x:f>G9*(1+Scenarios!$I$10)</x:f>
        <x:v>811.49185201</x:v>
      </x:c>
      <x:c r="I9" s="188"/>
    </x:row>
    <x:row r="10" ht="15" hidden="0" customHeight="1">
      <x:c r="A10" s="195" t="str">
        <x:v>Переменные затраты, руб.</x:v>
      </x:c>
      <x:c r="B10" s="197" t="n">
        <x:f>B6*B9</x:f>
        <x:v>49500000</x:v>
      </x:c>
      <x:c r="C10" s="197" t="n">
        <x:f>C6*C9</x:f>
        <x:v>56000000</x:v>
      </x:c>
      <x:c r="D10" s="197" t="n">
        <x:f>D6*D9</x:f>
        <x:v>59987200</x:v>
      </x:c>
      <x:c r="E10" s="197" t="n">
        <x:f>E6*E9</x:f>
        <x:v>64258288.64</x:v>
      </x:c>
      <x:c r="F10" s="197" t="n">
        <x:f>F6*F9</x:f>
        <x:v>68833478.791168</x:v>
      </x:c>
      <x:c r="G10" s="197" t="n">
        <x:f>G6*G9</x:f>
        <x:v>73734422.48109917</x:v>
      </x:c>
      <x:c r="H10" s="198" t="n">
        <x:f>H6*H9</x:f>
        <x:v>78984313.36175345</x:v>
      </x:c>
      <x:c r="I10" s="188"/>
    </x:row>
    <x:row r="11" ht="15" hidden="0" customHeight="1">
      <x:c r="A11" s="195" t="str">
        <x:v>Постоянные затраты, руб.</x:v>
      </x:c>
      <x:c r="B11" s="196" t="n">
        <x:f>Fact!B8</x:f>
        <x:v>16500000</x:v>
      </x:c>
      <x:c r="C11" s="196" t="n">
        <x:f>Fact!C8</x:f>
        <x:v>18000000</x:v>
      </x:c>
      <x:c r="D11" s="197" t="n">
        <x:f>C11*(1+Scenarios!$I$11)</x:f>
        <x:v>18720000</x:v>
      </x:c>
      <x:c r="E11" s="197" t="n">
        <x:f>D11*(1+Scenarios!$I$11)</x:f>
        <x:v>19468800</x:v>
      </x:c>
      <x:c r="F11" s="197" t="n">
        <x:f>E11*(1+Scenarios!$I$11)</x:f>
        <x:v>20247552</x:v>
      </x:c>
      <x:c r="G11" s="197" t="n">
        <x:f>F11*(1+Scenarios!$I$11)</x:f>
        <x:v>21057454.080000002</x:v>
      </x:c>
      <x:c r="H11" s="198" t="n">
        <x:f>G11*(1+Scenarios!$I$11)</x:f>
        <x:v>21899752.243200004</x:v>
      </x:c>
      <x:c r="I11" s="188"/>
    </x:row>
    <x:row r="12" ht="15" hidden="0" customHeight="1">
      <x:c r="A12" s="195" t="str">
        <x:v>Операционная прибыль, руб.</x:v>
      </x:c>
      <x:c r="B12" s="197" t="n">
        <x:f>B8-B10-B11</x:f>
        <x:v>18000000</x:v>
      </x:c>
      <x:c r="C12" s="197" t="n">
        <x:f>C8-C10-C11</x:f>
        <x:v>22000000</x:v>
      </x:c>
      <x:c r="D12" s="197" t="n">
        <x:f>D8-D10-D11</x:f>
        <x:v>24128000</x:v>
      </x:c>
      <x:c r="E12" s="197" t="n">
        <x:f>E8-E10-E11</x:f>
        <x:v>26429977.599999994</x:v>
      </x:c>
      <x:c r="F12" s="197" t="n">
        <x:f>F8-F10-F11</x:f>
        <x:v>28919218.56512001</x:v>
      </x:c>
      <x:c r="G12" s="197" t="n">
        <x:f>G8-G10-G11</x:f>
        <x:v>31609990.54935656</x:v>
      </x:c>
      <x:c r="H12" s="198" t="n">
        <x:f>H8-H10-H11</x:f>
        <x:v>34517614.44376673</x:v>
      </x:c>
      <x:c r="I12" s="188"/>
    </x:row>
    <x:row r="13" ht="15" hidden="0" customHeight="1">
      <x:c r="A13" s="195" t="str">
        <x:v>Налог, руб.</x:v>
      </x:c>
      <x:c r="B13" s="197" t="n">
        <x:f>MAX(B12,0)*Fact!B9</x:f>
        <x:v>3600000</x:v>
      </x:c>
      <x:c r="C13" s="197" t="n">
        <x:f>MAX(C12,0)*Fact!C9</x:f>
        <x:v>4400000</x:v>
      </x:c>
      <x:c r="D13" s="197" t="n">
        <x:f>MAX(D12,0)*Fact!C9</x:f>
        <x:v>4825600</x:v>
      </x:c>
      <x:c r="E13" s="197" t="n">
        <x:f>MAX(E12,0)*Fact!C9</x:f>
        <x:v>5285995.52</x:v>
      </x:c>
      <x:c r="F13" s="197" t="n">
        <x:f>MAX(F12,0)*Fact!C9</x:f>
        <x:v>5783843.7130240025</x:v>
      </x:c>
      <x:c r="G13" s="197" t="n">
        <x:f>MAX(G12,0)*Fact!C9</x:f>
        <x:v>6321998.109871313</x:v>
      </x:c>
      <x:c r="H13" s="198" t="n">
        <x:f>MAX(H12,0)*Fact!C9</x:f>
        <x:v>6903522.888753346</x:v>
      </x:c>
      <x:c r="I13" s="188"/>
    </x:row>
    <x:row r="14" ht="15" hidden="0" customHeight="1">
      <x:c r="A14" s="202" t="str">
        <x:v>FCF, руб.</x:v>
      </x:c>
      <x:c r="B14" s="203" t="n">
        <x:f>B12-B13</x:f>
        <x:v>14400000</x:v>
      </x:c>
      <x:c r="C14" s="203" t="n">
        <x:f>C12-C13</x:f>
        <x:v>17600000</x:v>
      </x:c>
      <x:c r="D14" s="203" t="n">
        <x:f>D12-D13</x:f>
        <x:v>19302400</x:v>
      </x:c>
      <x:c r="E14" s="203" t="n">
        <x:f>E12-E13</x:f>
        <x:v>21143982.079999994</x:v>
      </x:c>
      <x:c r="F14" s="203" t="n">
        <x:f>F12-F13</x:f>
        <x:v>23135374.85209601</x:v>
      </x:c>
      <x:c r="G14" s="203" t="n">
        <x:f>G12-G13</x:f>
        <x:v>25287992.43948525</x:v>
      </x:c>
      <x:c r="H14" s="204" t="n">
        <x:f>H12-H13</x:f>
        <x:v>27614091.55501338</x:v>
      </x:c>
      <x:c r="I14" s="188"/>
    </x:row>
    <x:row r="15" ht="15" hidden="0" customHeight="1">
      <x:c r="A15" s="195" t="str">
        <x:v>Коэффициент дисконтирования</x:v>
      </x:c>
      <x:c r="B15" s="205"/>
      <x:c r="C15" s="205"/>
      <x:c r="D15" s="206" t="n">
        <x:f>1/(1+Scenarios!$I$13)^1</x:f>
        <x:v>0.8695652173913044</x:v>
      </x:c>
      <x:c r="E15" s="206" t="n">
        <x:f>1/(1+Scenarios!$I$13)^2</x:f>
        <x:v>0.7561436672967865</x:v>
      </x:c>
      <x:c r="F15" s="206" t="n">
        <x:f>1/(1+Scenarios!$I$13)^3</x:f>
        <x:v>0.6575162324319883</x:v>
      </x:c>
      <x:c r="G15" s="206" t="n">
        <x:f>1/(1+Scenarios!$I$13)^4</x:f>
        <x:v>0.5717532455930334</x:v>
      </x:c>
      <x:c r="H15" s="207" t="n">
        <x:f>1/(1+Scenarios!$I$13)^5</x:f>
        <x:v>0.4971767352982899</x:v>
      </x:c>
      <x:c r="I15" s="188"/>
    </x:row>
    <x:row r="16" ht="15" hidden="0" customHeight="1">
      <x:c r="A16" s="208" t="str">
        <x:v>PV FCF, руб.</x:v>
      </x:c>
      <x:c r="B16" s="209"/>
      <x:c r="C16" s="209"/>
      <x:c r="D16" s="210" t="n">
        <x:f>D14*D15</x:f>
        <x:v>16784695.652173914</x:v>
      </x:c>
      <x:c r="E16" s="210" t="n">
        <x:f>E14*E15</x:f>
        <x:v>15987888.151228731</x:v>
      </x:c>
      <x:c r="F16" s="210" t="n">
        <x:f>F14*F15</x:f>
        <x:v>15211884.508651936</x:v>
      </x:c>
      <x:c r="G16" s="210" t="n">
        <x:f>G14*G15</x:f>
        <x:v>14458491.751807781</x:v>
      </x:c>
      <x:c r="H16" s="211" t="n">
        <x:f>H14*H15</x:f>
        <x:v>13729083.88754963</x:v>
      </x:c>
      <x:c r="I16" s="188"/>
    </x:row>
    <x:row r="17" ht="15" hidden="0" customHeight="1">
      <x:c r="A17" s="188"/>
      <x:c r="B17" s="188"/>
      <x:c r="C17" s="188"/>
      <x:c r="D17" s="188"/>
      <x:c r="E17" s="188"/>
      <x:c r="F17" s="188"/>
      <x:c r="G17" s="188"/>
      <x:c r="H17" s="188"/>
      <x:c r="I17" s="188"/>
    </x:row>
    <x:row r="18" ht="15" hidden="0" customHeight="1">
      <x:c r="A18" s="188"/>
      <x:c r="B18" s="188"/>
      <x:c r="C18" s="188"/>
      <x:c r="D18" s="188"/>
      <x:c r="E18" s="188"/>
      <x:c r="F18" s="188"/>
      <x:c r="G18" s="188"/>
      <x:c r="H18" s="188"/>
      <x:c r="I18" s="188"/>
    </x:row>
    <x:row r="19" ht="15" hidden="0" customHeight="1">
      <x:c r="A19" s="212" t="str">
        <x:v>Ключевые результаты активного сценария</x:v>
      </x:c>
      <x:c r="B19" s="212"/>
      <x:c r="C19" s="212"/>
      <x:c r="D19" s="212"/>
      <x:c r="E19" s="188"/>
      <x:c r="F19" s="10" t="str">
        <x:v>Ключевой контроль: переключение сценария не должно менять значения 2024 и 2025 годов. Меняются только прогнозные годы и показатели, рассчитанные на их основе.</x:v>
      </x:c>
      <x:c r="G19" s="10"/>
      <x:c r="H19" s="10"/>
      <x:c r="I19" s="188"/>
    </x:row>
    <x:row r="20" ht="15" hidden="0" customHeight="1">
      <x:c r="A20" s="213" t="str">
        <x:v>Показатель</x:v>
      </x:c>
      <x:c r="B20" s="214" t="str">
        <x:v>Значение</x:v>
      </x:c>
      <x:c r="C20" s="214" t="str">
        <x:v>Единица</x:v>
      </x:c>
      <x:c r="D20" s="215" t="str">
        <x:v>Комментарий</x:v>
      </x:c>
      <x:c r="E20" s="188"/>
      <x:c r="F20" s="10"/>
      <x:c r="G20" s="10"/>
      <x:c r="H20" s="10"/>
      <x:c r="I20" s="188"/>
    </x:row>
    <x:row r="21" ht="15" hidden="0" customHeight="1">
      <x:c r="A21" s="195" t="str">
        <x:v>Активный сценарий</x:v>
      </x:c>
      <x:c r="B21" s="216" t="str">
        <x:f>Scenarios!B4</x:f>
        <x:v>Базовый</x:v>
      </x:c>
      <x:c r="C21" s="205" t="str"/>
      <x:c r="D21" s="217" t="str">
        <x:v>Из переключателя</x:v>
      </x:c>
      <x:c r="E21" s="188"/>
      <x:c r="F21" s="10"/>
      <x:c r="G21" s="10"/>
      <x:c r="H21" s="10"/>
      <x:c r="I21" s="188"/>
    </x:row>
    <x:row r="22" ht="39.599998474121094" hidden="0" customHeight="1">
      <x:c r="A22" s="195" t="str">
        <x:v>NPV прогноза</x:v>
      </x:c>
      <x:c r="B22" s="197" t="n">
        <x:f>-Scenarios!I12+SUM(D16:H16)</x:f>
        <x:v>46172043.95141199</x:v>
      </x:c>
      <x:c r="C22" s="205" t="str">
        <x:v>руб.</x:v>
      </x:c>
      <x:c r="D22" s="217" t="str">
        <x:v>CAPEX на старте прогноза + PV FCF 2026–2030</x:v>
      </x:c>
      <x:c r="E22" s="188"/>
      <x:c r="F22" s="10"/>
      <x:c r="G22" s="10"/>
      <x:c r="H22" s="10"/>
      <x:c r="I22" s="188"/>
    </x:row>
    <x:row r="23" ht="26.399999618530273" hidden="0" customHeight="1">
      <x:c r="A23" s="195" t="str">
        <x:v>Выручка 2030</x:v>
      </x:c>
      <x:c r="B23" s="197" t="n">
        <x:f>H8</x:f>
        <x:v>135401680.04872018</x:v>
      </x:c>
      <x:c r="C23" s="205" t="str">
        <x:v>руб.</x:v>
      </x:c>
      <x:c r="D23" s="217" t="str">
        <x:v>Последний год горизонта</x:v>
      </x:c>
      <x:c r="E23" s="188"/>
      <x:c r="F23" s="188"/>
      <x:c r="G23" s="188"/>
      <x:c r="H23" s="188"/>
      <x:c r="I23" s="188"/>
    </x:row>
    <x:row r="24" ht="15" hidden="0" customHeight="1">
      <x:c r="A24" s="195" t="str">
        <x:v>Операционная прибыль 2030</x:v>
      </x:c>
      <x:c r="B24" s="197" t="n">
        <x:f>H12</x:f>
        <x:v>34517614.44376673</x:v>
      </x:c>
      <x:c r="C24" s="205" t="str">
        <x:v>руб.</x:v>
      </x:c>
      <x:c r="D24" s="217" t="str">
        <x:v>До налога</x:v>
      </x:c>
      <x:c r="E24" s="188"/>
      <x:c r="F24" s="188"/>
      <x:c r="G24" s="188"/>
      <x:c r="H24" s="188"/>
      <x:c r="I24" s="188"/>
    </x:row>
    <x:row r="25" ht="26.399999618530273" hidden="0" customHeight="1">
      <x:c r="A25" s="218" t="str">
        <x:v>Совокупный FCF 2026–2030</x:v>
      </x:c>
      <x:c r="B25" s="219" t="n">
        <x:f>SUM(D14:H14)</x:f>
        <x:v>116483840.92659464</x:v>
      </x:c>
      <x:c r="C25" s="220" t="str">
        <x:v>руб.</x:v>
      </x:c>
      <x:c r="D25" s="221" t="str">
        <x:v>Без учета стартового CAPEX</x:v>
      </x:c>
      <x:c r="E25" s="188"/>
      <x:c r="F25" s="188"/>
      <x:c r="G25" s="188"/>
      <x:c r="H25" s="188"/>
      <x:c r="I25" s="188"/>
    </x:row>
  </x:sheetData>
  <x:mergeCells>
    <x:mergeCell ref="A1:I1"/>
    <x:mergeCell ref="A2:I2"/>
    <x:mergeCell ref="A19:D19"/>
    <x:mergeCell ref="F19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16.799999237060547" hidden="0" customHeight="1">
      <x:c r="A1" s="4" t="str">
        <x:v>СВОДКА АКТИВНОГО СЦЕНАРИЯ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15" hidden="0" customHeight="1">
      <x:c r="A3" s="54" t="str">
        <x:v>Показатель</x:v>
      </x:c>
      <x:c r="B3" s="55" t="str">
        <x:v>Значение</x:v>
      </x:c>
      <x:c r="C3" s="56" t="str">
        <x:v>Единица</x:v>
      </x:c>
      <x:c r="E3" s="289" t="str">
        <x:v>Визуальный контроль границы:
• строка «Факт» содержит только 2024–2025;
• строка «Прогноз» начинается с точки 2025 и продолжается до 2030;
• смена сценария меняет только прогнозную строку.</x:v>
      </x:c>
      <x:c r="F3" s="289"/>
      <x:c r="G3" s="289"/>
      <x:c r="H3" s="289"/>
      <x:c r="I3" s="289"/>
      <x:c r="J3" s="289"/>
    </x:row>
    <x:row r="4" ht="15" hidden="0" customHeight="1">
      <x:c r="A4" s="31" t="str">
        <x:v>Сценарий</x:v>
      </x:c>
      <x:c r="B4" s="182" t="str">
        <x:f>Model!B21</x:f>
        <x:v>Базовый</x:v>
      </x:c>
      <x:c r="C4" s="33" t="str"/>
      <x:c r="E4" s="289"/>
      <x:c r="F4" s="289"/>
      <x:c r="G4" s="289"/>
      <x:c r="H4" s="289"/>
      <x:c r="I4" s="289"/>
      <x:c r="J4" s="289"/>
    </x:row>
    <x:row r="5" ht="15" hidden="0" customHeight="1">
      <x:c r="A5" s="31" t="str">
        <x:v>NPV</x:v>
      </x:c>
      <x:c r="B5" s="57" t="n">
        <x:f>Model!B22</x:f>
        <x:v>46172043.95141199</x:v>
      </x:c>
      <x:c r="C5" s="33" t="str">
        <x:v>руб.</x:v>
      </x:c>
      <x:c r="E5" s="289"/>
      <x:c r="F5" s="289"/>
      <x:c r="G5" s="289"/>
      <x:c r="H5" s="289"/>
      <x:c r="I5" s="289"/>
      <x:c r="J5" s="289"/>
    </x:row>
    <x:row r="6" ht="15" hidden="0" customHeight="1">
      <x:c r="A6" s="31" t="str">
        <x:v>Выручка 2030</x:v>
      </x:c>
      <x:c r="B6" s="57" t="n">
        <x:f>Model!B23</x:f>
        <x:v>135401680.04872018</x:v>
      </x:c>
      <x:c r="C6" s="33" t="str">
        <x:v>руб.</x:v>
      </x:c>
      <x:c r="E6" s="289"/>
      <x:c r="F6" s="289"/>
      <x:c r="G6" s="289"/>
      <x:c r="H6" s="289"/>
      <x:c r="I6" s="289"/>
      <x:c r="J6" s="289"/>
    </x:row>
    <x:row r="7" ht="15" hidden="0" customHeight="1">
      <x:c r="A7" s="31" t="str">
        <x:v>Операционная прибыль 2030</x:v>
      </x:c>
      <x:c r="B7" s="57" t="n">
        <x:f>Model!B24</x:f>
        <x:v>34517614.44376673</x:v>
      </x:c>
      <x:c r="C7" s="33" t="str">
        <x:v>руб.</x:v>
      </x:c>
      <x:c r="E7" s="289"/>
      <x:c r="F7" s="289"/>
      <x:c r="G7" s="289"/>
      <x:c r="H7" s="289"/>
      <x:c r="I7" s="289"/>
      <x:c r="J7" s="289"/>
    </x:row>
    <x:row r="8" ht="15" hidden="0" customHeight="1">
      <x:c r="A8" s="35" t="str">
        <x:v>Совокупный FCF прогноза</x:v>
      </x:c>
      <x:c r="B8" s="58" t="n">
        <x:f>Model!B25</x:f>
        <x:v>116483840.92659464</x:v>
      </x:c>
      <x:c r="C8" s="37" t="str">
        <x:v>руб.</x:v>
      </x:c>
      <x:c r="E8" s="289"/>
      <x:c r="F8" s="289"/>
      <x:c r="G8" s="289"/>
      <x:c r="H8" s="289"/>
      <x:c r="I8" s="289"/>
      <x:c r="J8" s="289"/>
    </x:row>
    <x:row r="9"/>
    <x:row r="10"/>
    <x:row r="11" ht="15" hidden="0" customHeight="1">
      <x:c r="A11" s="49" t="str">
        <x:v>Динамика выручки: факт и прогноз</x:v>
      </x:c>
      <x:c r="B11" s="49"/>
      <x:c r="C11" s="49"/>
      <x:c r="D11" s="49"/>
      <x:c r="E11" s="49"/>
      <x:c r="F11" s="49"/>
      <x:c r="G11" s="49"/>
      <x:c r="H11" s="49"/>
    </x:row>
    <x:row r="12" ht="15" hidden="0" customHeight="1">
      <x:c r="A12" s="28" t="str">
        <x:v>Серия / год</x:v>
      </x:c>
      <x:c r="B12" s="29" t="n">
        <x:v>2024</x:v>
      </x:c>
      <x:c r="C12" s="29" t="n">
        <x:v>2025</x:v>
      </x:c>
      <x:c r="D12" s="29" t="n">
        <x:v>2026</x:v>
      </x:c>
      <x:c r="E12" s="29" t="n">
        <x:v>2027</x:v>
      </x:c>
      <x:c r="F12" s="29" t="n">
        <x:v>2028</x:v>
      </x:c>
      <x:c r="G12" s="29" t="n">
        <x:v>2029</x:v>
      </x:c>
      <x:c r="H12" s="30" t="n">
        <x:v>2030</x:v>
      </x:c>
    </x:row>
    <x:row r="13" ht="15" hidden="0" customHeight="1">
      <x:c r="A13" s="31" t="str">
        <x:v>Факт</x:v>
      </x:c>
      <x:c r="B13" s="57" t="n">
        <x:f>Model!B8</x:f>
        <x:v>84000000</x:v>
      </x:c>
      <x:c r="C13" s="57" t="n">
        <x:f>Model!C8</x:f>
        <x:v>96000000</x:v>
      </x:c>
      <x:c r="D13" s="57"/>
      <x:c r="E13" s="57"/>
      <x:c r="F13" s="57"/>
      <x:c r="G13" s="57"/>
      <x:c r="H13" s="131"/>
    </x:row>
    <x:row r="14" ht="15" hidden="0" customHeight="1">
      <x:c r="A14" s="35" t="str">
        <x:v>Прогноз</x:v>
      </x:c>
      <x:c r="B14" s="58"/>
      <x:c r="C14" s="58" t="n">
        <x:f>Model!C8</x:f>
        <x:v>96000000</x:v>
      </x:c>
      <x:c r="D14" s="58" t="n">
        <x:f>Model!D8</x:f>
        <x:v>102835200</x:v>
      </x:c>
      <x:c r="E14" s="58" t="n">
        <x:f>Model!E8</x:f>
        <x:v>110157066.24</x:v>
      </x:c>
      <x:c r="F14" s="58" t="n">
        <x:f>Model!F8</x:f>
        <x:v>118000249.35628802</x:v>
      </x:c>
      <x:c r="G14" s="58" t="n">
        <x:f>Model!G8</x:f>
        <x:v>126401867.11045574</x:v>
      </x:c>
      <x:c r="H14" s="137" t="n">
        <x:f>Model!H8</x:f>
        <x:v>135401680.04872018</x:v>
      </x:c>
    </x:row>
    <x:row r="15"/>
    <x:row r="16"/>
    <x:row r="17">
      <x:c r="A17" s="10" t="str">
        <x:v>Не интерпретируйте выбранный сценарий как прогноз с вероятностью. Переключатель отвечает на вопрос «что показывает модель при данном согласованном наборе предпосылок?». Вероятности и распределения будут рассматриваться позже.</x:v>
      </x:c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</x:sheetData>
  <x:mergeCells>
    <x:mergeCell ref="A1:J1"/>
    <x:mergeCell ref="A11:H11"/>
    <x:mergeCell ref="A17:H20"/>
    <x:mergeCell ref="E3:J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7" hidden="0" customWidth="1"/>
    <x:col min="3" max="3" width="34" hidden="0" customWidth="1"/>
    <x:col min="4" max="4" width="30" hidden="0" customWidth="1"/>
    <x:col min="5" max="5" width="13" hidden="0" customWidth="1"/>
    <x:col min="6" max="6" width="38" hidden="0" customWidth="1"/>
  </x:cols>
  <x:sheetData>
    <x:row r="1" ht="16.799999237060547" hidden="0" customHeight="1">
      <x:c r="A1" s="186" t="str">
        <x:v>ЗАДАНИЯ ЗАНЯТИЯ 5.1</x:v>
      </x:c>
      <x:c r="B1" s="186"/>
      <x:c r="C1" s="186"/>
      <x:c r="D1" s="186"/>
      <x:c r="E1" s="186"/>
      <x:c r="F1" s="186"/>
    </x:row>
    <x:row r="2" ht="15" hidden="0" customHeight="1">
      <x:c r="A2" s="10" t="str">
        <x:v>Работа выполняется в одном файле. Основной критерий — один расчетный контур: сценарий меняется через переключатель, а не через три копии модели. Лист «Преподавателю» перед передачей группе удаляется.</x:v>
      </x:c>
      <x:c r="B2" s="10"/>
      <x:c r="C2" s="10"/>
      <x:c r="D2" s="10"/>
      <x:c r="E2" s="10"/>
      <x:c r="F2" s="10"/>
    </x:row>
    <x:row r="3" ht="15" hidden="0" customHeight="1">
      <x:c r="A3" s="188"/>
      <x:c r="B3" s="188"/>
      <x:c r="C3" s="188"/>
      <x:c r="D3" s="188"/>
      <x:c r="E3" s="188"/>
      <x:c r="F3" s="188"/>
    </x:row>
    <x:row r="4" ht="15" hidden="0" customHeight="1">
      <x:c r="A4" s="78" t="str">
        <x:v>№</x:v>
      </x:c>
      <x:c r="B4" s="79" t="str">
        <x:v>Задание</x:v>
      </x:c>
      <x:c r="C4" s="79" t="str">
        <x:v>Контроль</x:v>
      </x:c>
      <x:c r="D4" s="79" t="str">
        <x:v>Результат / вывод</x:v>
      </x:c>
      <x:c r="E4" s="79" t="str">
        <x:v>Статус</x:v>
      </x:c>
      <x:c r="F4" s="80" t="str">
        <x:v>Примечание</x:v>
      </x:c>
    </x:row>
    <x:row r="5" ht="26.399999618530273" hidden="0" customHeight="1">
      <x:c r="A5" s="195" t="n">
        <x:v>1</x:v>
      </x:c>
      <x:c r="B5" s="205" t="str">
        <x:v>Проверить фактический слой и убедиться, что 2024–2025 не зависят от активного сценария.</x:v>
      </x:c>
      <x:c r="C5" s="205" t="str">
        <x:v>Выручка 2024 = 84,0 млн; 2025 = 96,0 млн</x:v>
      </x:c>
      <x:c r="D5" s="205"/>
      <x:c r="E5" s="205"/>
      <x:c r="F5" s="217" t="str">
        <x:v>Переключить сценарий несколько раз.</x:v>
      </x:c>
    </x:row>
    <x:row r="6" ht="26.399999618530273" hidden="0" customHeight="1">
      <x:c r="A6" s="195" t="n">
        <x:v>2</x:v>
      </x:c>
      <x:c r="B6" s="205" t="str">
        <x:v>Разобрать сценарную матрицу и определить, почему CAPEX оптимистичного сценария выше базового.</x:v>
      </x:c>
      <x:c r="C6" s="205" t="str">
        <x:v>38 млн против 30 млн</x:v>
      </x:c>
      <x:c r="D6" s="205"/>
      <x:c r="E6" s="205"/>
      <x:c r="F6" s="217" t="str">
        <x:v>Оптимистичный сценарий не обязан улучшать каждую отдельную предпосылку.</x:v>
      </x:c>
    </x:row>
    <x:row r="7" ht="26.399999618530273" hidden="0" customHeight="1">
      <x:c r="A7" s="195" t="n">
        <x:v>3</x:v>
      </x:c>
      <x:c r="B7" s="205" t="str">
        <x:v>Проверить формулу выбранной предпосылки через XLOOKUP и скопировать ее для всех параметров.</x:v>
      </x:c>
      <x:c r="C7" s="205" t="str">
        <x:v>При «Базовом»: 4 %; 3 %; 3 %; 4 %; 30 млн; 15 %</x:v>
      </x:c>
      <x:c r="D7" s="205"/>
      <x:c r="E7" s="205"/>
      <x:c r="F7" s="217" t="str">
        <x:v>Единственный переключатель — Scenarios!B4.</x:v>
      </x:c>
    </x:row>
    <x:row r="8" ht="26.399999618530273" hidden="0" customHeight="1">
      <x:c r="A8" s="195" t="n">
        <x:v>4</x:v>
      </x:c>
      <x:c r="B8" s="205" t="str">
        <x:v>Переключить на оптимистичный сценарий и проверить, что фактические годы не изменились, а прогноз пересчитался.</x:v>
      </x:c>
      <x:c r="C8" s="205" t="str">
        <x:v>Выручка 2030 ≈ 188,76 млн</x:v>
      </x:c>
      <x:c r="D8" s="205"/>
      <x:c r="E8" s="205"/>
      <x:c r="F8" s="217" t="str">
        <x:v>Факт остается 84,0 и 96,0 млн.</x:v>
      </x:c>
    </x:row>
    <x:row r="9" ht="26.399999618530273" hidden="0" customHeight="1">
      <x:c r="A9" s="195" t="n">
        <x:v>5</x:v>
      </x:c>
      <x:c r="B9" s="205" t="str">
        <x:v>Переключить на пессимистичный сценарий и определить год, в котором операционная прибыль становится отрицательной.</x:v>
      </x:c>
      <x:c r="C9" s="205" t="str">
        <x:v>2029</x:v>
      </x:c>
      <x:c r="D9" s="205"/>
      <x:c r="E9" s="205"/>
      <x:c r="F9" s="217" t="str">
        <x:v>Не менять формулы модели вручную.</x:v>
      </x:c>
    </x:row>
    <x:row r="10" ht="26.399999618530273" hidden="0" customHeight="1">
      <x:c r="A10" s="195" t="n">
        <x:v>6</x:v>
      </x:c>
      <x:c r="B10" s="205" t="str">
        <x:v>Вернуть базовый сценарий и проверить формулу первого прогнозного года по объему и цене.</x:v>
      </x:c>
      <x:c r="C10" s="205" t="str">
        <x:v>2026: объем 83 200; цена 1 236</x:v>
      </x:c>
      <x:c r="D10" s="205"/>
      <x:c r="E10" s="205"/>
      <x:c r="F10" s="217" t="str">
        <x:v>2026 строится от факта 2025.</x:v>
      </x:c>
    </x:row>
    <x:row r="11" ht="26.399999618530273" hidden="0" customHeight="1">
      <x:c r="A11" s="195" t="n">
        <x:v>7</x:v>
      </x:c>
      <x:c r="B11" s="205" t="str">
        <x:v>Проверить ключевые результаты базового сценария.</x:v>
      </x:c>
      <x:c r="C11" s="205" t="str">
        <x:v>NPV ≈ 46,17 млн; выручка 2030 ≈ 135,40 млн</x:v>
      </x:c>
      <x:c r="D11" s="205"/>
      <x:c r="E11" s="205"/>
      <x:c r="F11" s="217" t="str">
        <x:v>CAPEX учитывается один раз в NPV.</x:v>
      </x:c>
    </x:row>
    <x:row r="12" ht="39.599998474121094" hidden="0" customHeight="1">
      <x:c r="A12" s="195" t="n">
        <x:v>8</x:v>
      </x:c>
      <x:c r="B12" s="205" t="str">
        <x:v>Сформулировать различие между чувствительностью и сценарием одним абзацем.</x:v>
      </x:c>
      <x:c r="C12" s="205" t="str">
        <x:v>Сценарий = согласованный набор; чувствительность = изменение отдельных факторов / сетка</x:v>
      </x:c>
      <x:c r="D12" s="205"/>
      <x:c r="E12" s="205"/>
      <x:c r="F12" s="217" t="str">
        <x:v>Не использовать слово «вероятность».</x:v>
      </x:c>
    </x:row>
    <x:row r="13" ht="26.399999618530273" hidden="0" customHeight="1">
      <x:c r="A13" s="195" t="n">
        <x:v>9</x:v>
      </x:c>
      <x:c r="B13" s="205" t="str">
        <x:v>Добавить собственный четвертый сценарий в отдельной копии файла и описать его экономическую логику.</x:v>
      </x:c>
      <x:c r="C13" s="205" t="str">
        <x:v>Все предпосылки имеют единицы и обоснование</x:v>
      </x:c>
      <x:c r="D13" s="205"/>
      <x:c r="E13" s="205"/>
      <x:c r="F13" s="217" t="str">
        <x:v>Не называть сценарий просто «лучше/хуже» без содержательной рамки.</x:v>
      </x:c>
    </x:row>
    <x:row r="14" ht="26.399999618530273" hidden="0" customHeight="1">
      <x:c r="A14" s="218" t="n">
        <x:v>10</x:v>
      </x:c>
      <x:c r="B14" s="220" t="str">
        <x:v>Домашняя подготовка к 5.2: выбрать один KPI, по которому сценарий будет считаться неприемлемым, и записать порог.</x:v>
      </x:c>
      <x:c r="C14" s="220" t="str">
        <x:v>Порог задан явно и измеримо</x:v>
      </x:c>
      <x:c r="D14" s="220"/>
      <x:c r="E14" s="220"/>
      <x:c r="F14" s="221" t="str">
        <x:v>Порог понадобится для stress testing.</x:v>
      </x:c>
    </x:row>
  </x:sheetData>
  <x:mergeCells>
    <x:mergeCell ref="A1:F1"/>
    <x:mergeCell ref="A2:F2"/>
  </x:mergeCells>
  <x:dataValidations count="1">
    <x:dataValidation type="list" sqref="E5:E14">
      <x:formula1>"Не начато,В работе,Готово"</x:formula1>
    </x:dataValidation>
  </x:dataValidations>
  <x:pageMargins left="0.7" right="0.7" top="0.75" bottom="0.75" header="0.3" footer="0.3"/>
</x:worksheet>
</file>