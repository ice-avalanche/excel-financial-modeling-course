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te\Desktop\СПбГУ осень 2026\"/>
    </mc:Choice>
  </mc:AlternateContent>
  <xr:revisionPtr revIDLastSave="0" documentId="13_ncr:1_{B3BE21B4-E067-4864-8901-7D354D16DA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Отчет" sheetId="1" r:id="rId1"/>
    <sheet name="Данные доп" sheetId="2" r:id="rId2"/>
    <sheet name="Свод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2" l="1"/>
  <c r="G16" i="1"/>
  <c r="C16" i="1"/>
  <c r="C21" i="1" s="1"/>
  <c r="E15" i="1"/>
  <c r="D15" i="1"/>
  <c r="E14" i="1"/>
  <c r="D14" i="1"/>
  <c r="E13" i="1"/>
  <c r="D13" i="1"/>
  <c r="F13" i="1" s="1"/>
  <c r="E12" i="1"/>
  <c r="D12" i="1"/>
  <c r="D11" i="1"/>
  <c r="F11" i="1" s="1"/>
  <c r="E10" i="1"/>
  <c r="D10" i="1"/>
  <c r="E9" i="1"/>
  <c r="D9" i="1"/>
  <c r="E8" i="1"/>
  <c r="E16" i="1" s="1"/>
  <c r="D8" i="1"/>
  <c r="F15" i="1" l="1"/>
  <c r="H15" i="1" s="1"/>
  <c r="I15" i="1" s="1"/>
  <c r="H11" i="1"/>
  <c r="I11" i="1" s="1"/>
  <c r="F14" i="1"/>
  <c r="H14" i="1" s="1"/>
  <c r="I14" i="1" s="1"/>
  <c r="F10" i="1"/>
  <c r="H10" i="1" s="1"/>
  <c r="I10" i="1" s="1"/>
  <c r="F12" i="1"/>
  <c r="H12" i="1" s="1"/>
  <c r="I12" i="1" s="1"/>
  <c r="F9" i="1"/>
  <c r="H9" i="1" s="1"/>
  <c r="I9" i="1" s="1"/>
  <c r="H13" i="1"/>
  <c r="I13" i="1" s="1"/>
  <c r="D16" i="1"/>
  <c r="F8" i="1"/>
  <c r="F16" i="1" l="1"/>
  <c r="H8" i="1"/>
  <c r="H16" i="1" l="1"/>
  <c r="C18" i="1" s="1"/>
  <c r="I8" i="1"/>
  <c r="C19" i="1" s="1"/>
</calcChain>
</file>

<file path=xl/sharedStrings.xml><?xml version="1.0" encoding="utf-8"?>
<sst xmlns="http://schemas.openxmlformats.org/spreadsheetml/2006/main" count="81" uniqueCount="60">
  <si>
    <t>ОТЧЕТ О РЕЗУЛЬТАТАХ РАБОТЫ РОЗНИЧНОЙ СЕТИ «СЕВЕРНЫЙ ДВОР»</t>
  </si>
  <si>
    <t>I квартал 2026 г. Подготовлено отделом планирования. Версия файла: отчет_итог_финал_2(правки).xlsx</t>
  </si>
  <si>
    <t>Ставка НДС</t>
  </si>
  <si>
    <t>(показатели ниже рассчитаны отделом планирования)</t>
  </si>
  <si>
    <t>Норматив аренды от выручки</t>
  </si>
  <si>
    <t>Торговая точка / регион</t>
  </si>
  <si>
    <t>Выручка с НДС, руб.</t>
  </si>
  <si>
    <t>Выручка без НДС, руб.</t>
  </si>
  <si>
    <t>Аренда, руб.</t>
  </si>
  <si>
    <t>ФОТ, руб.</t>
  </si>
  <si>
    <t>Прочие расходы, руб.</t>
  </si>
  <si>
    <t>Прибыль, руб.</t>
  </si>
  <si>
    <t>Маржа</t>
  </si>
  <si>
    <t>Точка №1 «Центр»</t>
  </si>
  <si>
    <t>Северо-Запад</t>
  </si>
  <si>
    <t>Точка №2 «Приморская»</t>
  </si>
  <si>
    <t>Точка №3 «Заводская»</t>
  </si>
  <si>
    <t>Урал</t>
  </si>
  <si>
    <t>Точка №4 «Южная»</t>
  </si>
  <si>
    <t>Юг</t>
  </si>
  <si>
    <t>Точка №5 «Вокзальная»</t>
  </si>
  <si>
    <t>Точка №6 «Парковая»</t>
  </si>
  <si>
    <t>Точка №7 «Северная»</t>
  </si>
  <si>
    <t>Точка №8 «Луговая»</t>
  </si>
  <si>
    <t>ИТОГО ПО СЕТИ</t>
  </si>
  <si>
    <t>Рентабельность по сети</t>
  </si>
  <si>
    <t>Средняя маржа по точкам</t>
  </si>
  <si>
    <t>Плановая выручка на II квартал</t>
  </si>
  <si>
    <t>Догрузка от бухгалтерии (выгрузка из учетной системы)</t>
  </si>
  <si>
    <t>Внимание: файл выгружен во внешнем формате, обработка не производилась</t>
  </si>
  <si>
    <t>Точка</t>
  </si>
  <si>
    <t>Дата</t>
  </si>
  <si>
    <t>Категория</t>
  </si>
  <si>
    <t>Сумма продаж</t>
  </si>
  <si>
    <t>Маржа, %</t>
  </si>
  <si>
    <t>01.02.2026</t>
  </si>
  <si>
    <t>Бакалея</t>
  </si>
  <si>
    <t>1 240 500,00</t>
  </si>
  <si>
    <t>12,4</t>
  </si>
  <si>
    <t>Молочная</t>
  </si>
  <si>
    <t xml:space="preserve">  870 300,00</t>
  </si>
  <si>
    <t>0,181</t>
  </si>
  <si>
    <t>640 100,00</t>
  </si>
  <si>
    <t>9,7</t>
  </si>
  <si>
    <t>01.03.2026</t>
  </si>
  <si>
    <t>Непродовольств</t>
  </si>
  <si>
    <t>1 015 750,00</t>
  </si>
  <si>
    <t>0,224</t>
  </si>
  <si>
    <t>512 900,00</t>
  </si>
  <si>
    <t>8,3</t>
  </si>
  <si>
    <t>398 640,00</t>
  </si>
  <si>
    <t>0,155</t>
  </si>
  <si>
    <t>ИТОГО</t>
  </si>
  <si>
    <t>СВОДНЫЕ ПОКАЗАТЕЛИ ДЛЯ РУКОВОДСТВА</t>
  </si>
  <si>
    <t>Подготовлено на основании отчета отдела планирования</t>
  </si>
  <si>
    <t>Показатель</t>
  </si>
  <si>
    <t>Значение</t>
  </si>
  <si>
    <t>Совокупные расходы, руб.</t>
  </si>
  <si>
    <t>Рентабельность</t>
  </si>
  <si>
    <t>Контрольная сумма: не предусмотрена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</si>
</sst>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\ ##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204"/>
    </font>
    <font>
      <i/>
      <sz val="10"/>
      <color rgb="FF555555"/>
      <name val="Arial"/>
      <family val="2"/>
      <charset val="204"/>
    </font>
    <font>
      <sz val="1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555555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0" fontId="5" fillId="3" borderId="1" xfId="0" applyFont="1" applyFill="1" applyBorder="1"/>
    <xf numFmtId="0" fontId="0" fillId="3" borderId="1" xfId="0" applyFill="1" applyBorder="1"/>
    <xf numFmtId="165" fontId="5" fillId="3" borderId="1" xfId="0" applyNumberFormat="1" applyFont="1" applyFill="1" applyBorder="1"/>
    <xf numFmtId="165" fontId="3" fillId="0" borderId="0" xfId="0" applyNumberFormat="1" applyFont="1"/>
    <xf numFmtId="0" fontId="5" fillId="0" borderId="0" xfId="0" applyFont="1"/>
    <xf numFmtId="0" fontId="3" fillId="0" borderId="1" xfId="0" applyFont="1" applyBorder="1" applyAlignment="1">
      <alignment horizontal="left" vertical="center"/>
    </xf>
    <xf numFmtId="165" fontId="5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zoomScaleNormal="100" workbookViewId="0">
      <pane ySplit="7" topLeftCell="A8" activePane="bottomLeft" state="frozen"/>
      <selection pane="bottomLeft" sqref="A1:I1"/>
    </sheetView>
  </sheetViews>
  <sheetFormatPr defaultColWidth="8.7109375" defaultRowHeight="15" x14ac:dyDescent="0.25"/>
  <cols>
    <col min="1" max="1" width="24" customWidth="1"/>
    <col min="2" max="2" width="16" customWidth="1"/>
    <col min="3" max="4" width="18" customWidth="1"/>
    <col min="5" max="6" width="15" customWidth="1"/>
    <col min="7" max="7" width="17" customWidth="1"/>
    <col min="8" max="8" width="16" customWidth="1"/>
    <col min="9" max="9" width="10" customWidth="1"/>
  </cols>
  <sheetData>
    <row r="1" spans="1:9" ht="17.4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4" t="s">
        <v>2</v>
      </c>
      <c r="B4" s="5">
        <v>0.2</v>
      </c>
      <c r="D4" s="6" t="s">
        <v>3</v>
      </c>
    </row>
    <row r="5" spans="1:9" x14ac:dyDescent="0.25">
      <c r="A5" s="4" t="s">
        <v>4</v>
      </c>
      <c r="B5" s="5">
        <v>0.15</v>
      </c>
    </row>
    <row r="7" spans="1:9" ht="31.5" customHeight="1" x14ac:dyDescent="0.25">
      <c r="A7" s="1" t="s">
        <v>5</v>
      </c>
      <c r="B7" s="1"/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</row>
    <row r="8" spans="1:9" x14ac:dyDescent="0.25">
      <c r="A8" s="8" t="s">
        <v>13</v>
      </c>
      <c r="B8" s="8" t="s">
        <v>14</v>
      </c>
      <c r="C8" s="9">
        <v>14820000</v>
      </c>
      <c r="D8" s="9">
        <f t="shared" ref="D8:D15" si="0">C8/1.2</f>
        <v>12350000</v>
      </c>
      <c r="E8" s="9">
        <f>C8*0.15</f>
        <v>2223000</v>
      </c>
      <c r="F8" s="9">
        <f t="shared" ref="F8:F15" si="1">D8*0.22</f>
        <v>2717000</v>
      </c>
      <c r="G8" s="9">
        <v>1180000</v>
      </c>
      <c r="H8" s="9">
        <f t="shared" ref="H8:H15" si="2">D8-E8-F8-G8</f>
        <v>6230000</v>
      </c>
      <c r="I8" s="10">
        <f t="shared" ref="I8:I15" si="3">H8/D8</f>
        <v>0.50445344129554659</v>
      </c>
    </row>
    <row r="9" spans="1:9" x14ac:dyDescent="0.25">
      <c r="A9" s="8" t="s">
        <v>15</v>
      </c>
      <c r="B9" s="8" t="s">
        <v>14</v>
      </c>
      <c r="C9" s="9">
        <v>9640000</v>
      </c>
      <c r="D9" s="9">
        <f t="shared" si="0"/>
        <v>8033333.333333334</v>
      </c>
      <c r="E9" s="9">
        <f>C9*0.15</f>
        <v>1446000</v>
      </c>
      <c r="F9" s="9">
        <f t="shared" si="1"/>
        <v>1767333.3333333335</v>
      </c>
      <c r="G9" s="9">
        <v>870000</v>
      </c>
      <c r="H9" s="9">
        <f t="shared" si="2"/>
        <v>3950000</v>
      </c>
      <c r="I9" s="10">
        <f t="shared" si="3"/>
        <v>0.49170124481327798</v>
      </c>
    </row>
    <row r="10" spans="1:9" x14ac:dyDescent="0.25">
      <c r="A10" s="8" t="s">
        <v>16</v>
      </c>
      <c r="B10" s="8" t="s">
        <v>17</v>
      </c>
      <c r="C10" s="9">
        <v>7310000</v>
      </c>
      <c r="D10" s="9">
        <f t="shared" si="0"/>
        <v>6091666.666666667</v>
      </c>
      <c r="E10" s="9">
        <f>C10*0.15</f>
        <v>1096500</v>
      </c>
      <c r="F10" s="9">
        <f t="shared" si="1"/>
        <v>1340166.6666666667</v>
      </c>
      <c r="G10" s="9">
        <v>940000</v>
      </c>
      <c r="H10" s="9">
        <f t="shared" si="2"/>
        <v>2715000</v>
      </c>
      <c r="I10" s="10">
        <f t="shared" si="3"/>
        <v>0.44569083447332419</v>
      </c>
    </row>
    <row r="11" spans="1:9" x14ac:dyDescent="0.25">
      <c r="A11" s="8" t="s">
        <v>18</v>
      </c>
      <c r="B11" s="8" t="s">
        <v>19</v>
      </c>
      <c r="C11" s="9">
        <v>11275000</v>
      </c>
      <c r="D11" s="9">
        <f t="shared" si="0"/>
        <v>9395833.333333334</v>
      </c>
      <c r="E11" s="9">
        <v>1691250</v>
      </c>
      <c r="F11" s="9">
        <f t="shared" si="1"/>
        <v>2067083.3333333335</v>
      </c>
      <c r="G11" s="9">
        <v>1020000</v>
      </c>
      <c r="H11" s="9">
        <f t="shared" si="2"/>
        <v>4617500</v>
      </c>
      <c r="I11" s="10">
        <f t="shared" si="3"/>
        <v>0.49144124168514408</v>
      </c>
    </row>
    <row r="12" spans="1:9" x14ac:dyDescent="0.25">
      <c r="A12" s="8" t="s">
        <v>20</v>
      </c>
      <c r="B12" s="8" t="s">
        <v>17</v>
      </c>
      <c r="C12" s="9">
        <v>6980000</v>
      </c>
      <c r="D12" s="9">
        <f t="shared" si="0"/>
        <v>5816666.666666667</v>
      </c>
      <c r="E12" s="9">
        <f>C12*0.15</f>
        <v>1047000</v>
      </c>
      <c r="F12" s="9">
        <f t="shared" si="1"/>
        <v>1279666.6666666667</v>
      </c>
      <c r="G12" s="9">
        <v>755000</v>
      </c>
      <c r="H12" s="9">
        <f t="shared" si="2"/>
        <v>2735000</v>
      </c>
      <c r="I12" s="10">
        <f t="shared" si="3"/>
        <v>0.47020057306590257</v>
      </c>
    </row>
    <row r="13" spans="1:9" x14ac:dyDescent="0.25">
      <c r="A13" s="8" t="s">
        <v>21</v>
      </c>
      <c r="B13" s="8" t="s">
        <v>19</v>
      </c>
      <c r="C13" s="9">
        <v>5420000</v>
      </c>
      <c r="D13" s="9">
        <f t="shared" si="0"/>
        <v>4516666.666666667</v>
      </c>
      <c r="E13" s="9">
        <f>C13*0.18</f>
        <v>975600</v>
      </c>
      <c r="F13" s="9">
        <f t="shared" si="1"/>
        <v>993666.66666666674</v>
      </c>
      <c r="G13" s="9">
        <v>690000</v>
      </c>
      <c r="H13" s="9">
        <f t="shared" si="2"/>
        <v>1857400</v>
      </c>
      <c r="I13" s="10">
        <f t="shared" si="3"/>
        <v>0.41123247232472321</v>
      </c>
    </row>
    <row r="14" spans="1:9" x14ac:dyDescent="0.25">
      <c r="A14" s="8" t="s">
        <v>22</v>
      </c>
      <c r="B14" s="8" t="s">
        <v>14</v>
      </c>
      <c r="C14" s="9">
        <v>8130000</v>
      </c>
      <c r="D14" s="9">
        <f t="shared" si="0"/>
        <v>6775000</v>
      </c>
      <c r="E14" s="9">
        <f>C14*0.15</f>
        <v>1219500</v>
      </c>
      <c r="F14" s="9">
        <f t="shared" si="1"/>
        <v>1490500</v>
      </c>
      <c r="G14" s="9">
        <v>812000</v>
      </c>
      <c r="H14" s="9">
        <f t="shared" si="2"/>
        <v>3253000</v>
      </c>
      <c r="I14" s="10">
        <f t="shared" si="3"/>
        <v>0.48014760147601476</v>
      </c>
    </row>
    <row r="15" spans="1:9" x14ac:dyDescent="0.25">
      <c r="A15" s="8" t="s">
        <v>23</v>
      </c>
      <c r="B15" s="8" t="s">
        <v>17</v>
      </c>
      <c r="C15" s="9">
        <v>4260000</v>
      </c>
      <c r="D15" s="9">
        <f t="shared" si="0"/>
        <v>3550000</v>
      </c>
      <c r="E15" s="9">
        <f>C15*0.15</f>
        <v>639000</v>
      </c>
      <c r="F15" s="9">
        <f t="shared" si="1"/>
        <v>781000</v>
      </c>
      <c r="G15" s="9">
        <v>598000</v>
      </c>
      <c r="H15" s="9">
        <f t="shared" si="2"/>
        <v>1532000</v>
      </c>
      <c r="I15" s="10">
        <f t="shared" si="3"/>
        <v>0.4315492957746479</v>
      </c>
    </row>
    <row r="16" spans="1:9" x14ac:dyDescent="0.25">
      <c r="A16" s="11" t="s">
        <v>24</v>
      </c>
      <c r="B16" s="12"/>
      <c r="C16" s="13">
        <f t="shared" ref="C16:H16" si="4">SUM(C8:C14)</f>
        <v>63575000</v>
      </c>
      <c r="D16" s="13">
        <f t="shared" si="4"/>
        <v>52979166.666666664</v>
      </c>
      <c r="E16" s="13">
        <f t="shared" si="4"/>
        <v>9698850</v>
      </c>
      <c r="F16" s="13">
        <f t="shared" si="4"/>
        <v>11655416.666666666</v>
      </c>
      <c r="G16" s="13">
        <f t="shared" si="4"/>
        <v>6267000</v>
      </c>
      <c r="H16" s="13">
        <f t="shared" si="4"/>
        <v>25357900</v>
      </c>
      <c r="I16" s="12"/>
    </row>
    <row r="18" spans="1:3" x14ac:dyDescent="0.25">
      <c r="A18" s="4" t="s">
        <v>25</v>
      </c>
      <c r="C18" s="5">
        <f>IFERROR(H16/D17,0)</f>
        <v>0</v>
      </c>
    </row>
    <row r="19" spans="1:3" x14ac:dyDescent="0.25">
      <c r="A19" s="4" t="s">
        <v>26</v>
      </c>
      <c r="C19" s="5">
        <f>AVERAGE(I8:I15)</f>
        <v>0.46580208811357271</v>
      </c>
    </row>
    <row r="21" spans="1:3" x14ac:dyDescent="0.25">
      <c r="A21" s="4" t="s">
        <v>27</v>
      </c>
      <c r="C21" s="14">
        <f>C16*1.07</f>
        <v>68025250</v>
      </c>
    </row>
  </sheetData>
  <mergeCells count="3">
    <mergeCell ref="A1:I1"/>
    <mergeCell ref="A2:I2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14" customWidth="1"/>
    <col min="3" max="4" width="18" customWidth="1"/>
    <col min="5" max="5" width="12" customWidth="1"/>
  </cols>
  <sheetData>
    <row r="1" spans="1:5" x14ac:dyDescent="0.25">
      <c r="A1" s="15" t="s">
        <v>28</v>
      </c>
    </row>
    <row r="2" spans="1:5" x14ac:dyDescent="0.25">
      <c r="A2" s="6" t="s">
        <v>29</v>
      </c>
    </row>
    <row r="4" spans="1:5" x14ac:dyDescent="0.25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</row>
    <row r="5" spans="1:5" x14ac:dyDescent="0.25">
      <c r="A5" s="16" t="s">
        <v>13</v>
      </c>
      <c r="B5" s="16" t="s">
        <v>35</v>
      </c>
      <c r="C5" s="16" t="s">
        <v>36</v>
      </c>
      <c r="D5" s="16" t="s">
        <v>37</v>
      </c>
      <c r="E5" s="16" t="s">
        <v>38</v>
      </c>
    </row>
    <row r="6" spans="1:5" x14ac:dyDescent="0.25">
      <c r="A6" s="16" t="s">
        <v>13</v>
      </c>
      <c r="B6" s="16" t="s">
        <v>35</v>
      </c>
      <c r="C6" s="16" t="s">
        <v>39</v>
      </c>
      <c r="D6" s="16" t="s">
        <v>40</v>
      </c>
      <c r="E6" s="16" t="s">
        <v>41</v>
      </c>
    </row>
    <row r="7" spans="1:5" x14ac:dyDescent="0.25">
      <c r="A7" s="16" t="s">
        <v>16</v>
      </c>
      <c r="B7" s="16" t="s">
        <v>35</v>
      </c>
      <c r="C7" s="16" t="s">
        <v>36</v>
      </c>
      <c r="D7" s="16" t="s">
        <v>42</v>
      </c>
      <c r="E7" s="16" t="s">
        <v>43</v>
      </c>
    </row>
    <row r="8" spans="1:5" x14ac:dyDescent="0.25">
      <c r="A8" s="16" t="s">
        <v>16</v>
      </c>
      <c r="B8" s="16" t="s">
        <v>44</v>
      </c>
      <c r="C8" s="16" t="s">
        <v>45</v>
      </c>
      <c r="D8" s="16" t="s">
        <v>46</v>
      </c>
      <c r="E8" s="16" t="s">
        <v>47</v>
      </c>
    </row>
    <row r="9" spans="1:5" x14ac:dyDescent="0.25">
      <c r="A9" s="16" t="s">
        <v>20</v>
      </c>
      <c r="B9" s="16" t="s">
        <v>44</v>
      </c>
      <c r="C9" s="16" t="s">
        <v>36</v>
      </c>
      <c r="D9" s="16" t="s">
        <v>48</v>
      </c>
      <c r="E9" s="16" t="s">
        <v>49</v>
      </c>
    </row>
    <row r="10" spans="1:5" x14ac:dyDescent="0.25">
      <c r="A10" s="16" t="s">
        <v>23</v>
      </c>
      <c r="B10" s="16" t="s">
        <v>44</v>
      </c>
      <c r="C10" s="16" t="s">
        <v>39</v>
      </c>
      <c r="D10" s="16" t="s">
        <v>50</v>
      </c>
      <c r="E10" s="16" t="s">
        <v>51</v>
      </c>
    </row>
    <row r="12" spans="1:5" x14ac:dyDescent="0.25">
      <c r="C12" s="15" t="s">
        <v>52</v>
      </c>
      <c r="D12" s="17">
        <f>SUM(D5:D10)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20" customWidth="1"/>
  </cols>
  <sheetData>
    <row r="1" spans="1:2" ht="18" x14ac:dyDescent="0.25">
      <c r="A1" s="18" t="s">
        <v>53</v>
      </c>
    </row>
    <row r="2" spans="1:2" x14ac:dyDescent="0.25">
      <c r="A2" s="6" t="s">
        <v>54</v>
      </c>
    </row>
    <row r="4" spans="1:2" x14ac:dyDescent="0.25">
      <c r="A4" s="7" t="s">
        <v>55</v>
      </c>
      <c r="B4" s="7" t="s">
        <v>56</v>
      </c>
    </row>
    <row r="5" spans="1:2" x14ac:dyDescent="0.25">
      <c r="A5" s="8" t="s">
        <v>6</v>
      </c>
      <c r="B5" s="9">
        <v>67835000</v>
      </c>
    </row>
    <row r="6" spans="1:2" x14ac:dyDescent="0.25">
      <c r="A6" s="8" t="s">
        <v>7</v>
      </c>
      <c r="B6" s="9">
        <v>56529167</v>
      </c>
    </row>
    <row r="7" spans="1:2" x14ac:dyDescent="0.25">
      <c r="A7" s="8" t="s">
        <v>57</v>
      </c>
      <c r="B7" s="9">
        <v>30118400</v>
      </c>
    </row>
    <row r="8" spans="1:2" x14ac:dyDescent="0.25">
      <c r="A8" s="8" t="s">
        <v>11</v>
      </c>
      <c r="B8" s="9">
        <v>26410767</v>
      </c>
    </row>
    <row r="9" spans="1:2" x14ac:dyDescent="0.25">
      <c r="A9" s="8" t="s">
        <v>58</v>
      </c>
      <c r="B9" s="10">
        <v>0.46700000000000003</v>
      </c>
    </row>
    <row r="12" spans="1:2" x14ac:dyDescent="0.25">
      <c r="A12" s="6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</vt:lpstr>
      <vt:lpstr>Данные доп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Ekaterina Nikolaevna Grishchenkova</cp:lastModifiedBy>
  <cp:revision>0</cp:revision>
  <dcterms:created xsi:type="dcterms:W3CDTF">2026-09-05T05:44:15Z</dcterms:created>
  <dcterms:modified xsi:type="dcterms:W3CDTF">2026-09-05T07:47:07Z</dcterms:modified>
  <dc:language>en-US</dc:language>
</cp:coreProperties>
</file>