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te\Desktop\СПбГУ осень 2026\"/>
    </mc:Choice>
  </mc:AlternateContent>
  <xr:revisionPtr revIDLastSave="0" documentId="13_ncr:1_{AE9D2977-C8D8-4BB5-B867-52164FBF2FA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Справочники" sheetId="1" r:id="rId1"/>
    <sheet name="Продажи" sheetId="2" r:id="rId2"/>
    <sheet name="Матрица" sheetId="3" r:id="rId3"/>
    <sheet name="Задания" sheetId="4" r:id="rId4"/>
    <sheet name="Пересчет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5" l="1"/>
  <c r="B5" i="5"/>
  <c r="E16" i="4"/>
  <c r="D16" i="4"/>
  <c r="E15" i="4"/>
  <c r="E14" i="4"/>
  <c r="E13" i="4"/>
  <c r="D13" i="4"/>
  <c r="E12" i="4"/>
  <c r="D12" i="4"/>
  <c r="E11" i="4"/>
  <c r="E10" i="4"/>
  <c r="D9" i="4"/>
  <c r="E9" i="4" s="1"/>
  <c r="E8" i="4"/>
  <c r="D8" i="4"/>
  <c r="E7" i="4"/>
  <c r="D6" i="4"/>
  <c r="E6" i="4" s="1"/>
  <c r="D5" i="4"/>
  <c r="E5" i="4" s="1"/>
  <c r="F123" i="2"/>
  <c r="G123" i="2" s="1"/>
  <c r="G122" i="2"/>
  <c r="F122" i="2"/>
  <c r="F121" i="2"/>
  <c r="G121" i="2" s="1"/>
  <c r="G120" i="2"/>
  <c r="F120" i="2"/>
  <c r="F119" i="2"/>
  <c r="G119" i="2" s="1"/>
  <c r="G118" i="2"/>
  <c r="F118" i="2"/>
  <c r="G117" i="2"/>
  <c r="F117" i="2"/>
  <c r="G116" i="2"/>
  <c r="F116" i="2"/>
  <c r="F115" i="2"/>
  <c r="G115" i="2" s="1"/>
  <c r="D11" i="3" s="1"/>
  <c r="G114" i="2"/>
  <c r="F114" i="2"/>
  <c r="F113" i="2"/>
  <c r="G113" i="2" s="1"/>
  <c r="G112" i="2"/>
  <c r="F112" i="2"/>
  <c r="F111" i="2"/>
  <c r="G111" i="2" s="1"/>
  <c r="G110" i="2"/>
  <c r="F110" i="2"/>
  <c r="F109" i="2"/>
  <c r="G109" i="2" s="1"/>
  <c r="G108" i="2"/>
  <c r="F108" i="2"/>
  <c r="G107" i="2"/>
  <c r="F107" i="2"/>
  <c r="G106" i="2"/>
  <c r="F106" i="2"/>
  <c r="F105" i="2"/>
  <c r="G105" i="2" s="1"/>
  <c r="D9" i="3" s="1"/>
  <c r="G104" i="2"/>
  <c r="F104" i="2"/>
  <c r="F103" i="2"/>
  <c r="G103" i="2" s="1"/>
  <c r="G102" i="2"/>
  <c r="F102" i="2"/>
  <c r="F101" i="2"/>
  <c r="G101" i="2" s="1"/>
  <c r="G100" i="2"/>
  <c r="F100" i="2"/>
  <c r="F99" i="2"/>
  <c r="G99" i="2" s="1"/>
  <c r="D8" i="3" s="1"/>
  <c r="G98" i="2"/>
  <c r="F98" i="2"/>
  <c r="G97" i="2"/>
  <c r="F97" i="2"/>
  <c r="G96" i="2"/>
  <c r="F96" i="2"/>
  <c r="F95" i="2"/>
  <c r="G95" i="2" s="1"/>
  <c r="D7" i="3" s="1"/>
  <c r="G94" i="2"/>
  <c r="F94" i="2"/>
  <c r="F93" i="2"/>
  <c r="G93" i="2" s="1"/>
  <c r="G92" i="2"/>
  <c r="F92" i="2"/>
  <c r="F91" i="2"/>
  <c r="G91" i="2" s="1"/>
  <c r="G90" i="2"/>
  <c r="F90" i="2"/>
  <c r="F89" i="2"/>
  <c r="G89" i="2" s="1"/>
  <c r="G88" i="2"/>
  <c r="F88" i="2"/>
  <c r="G87" i="2"/>
  <c r="F87" i="2"/>
  <c r="G86" i="2"/>
  <c r="F86" i="2"/>
  <c r="F85" i="2"/>
  <c r="G85" i="2" s="1"/>
  <c r="G84" i="2"/>
  <c r="F84" i="2"/>
  <c r="F83" i="2"/>
  <c r="G83" i="2" s="1"/>
  <c r="G82" i="2"/>
  <c r="F82" i="2"/>
  <c r="F81" i="2"/>
  <c r="G81" i="2" s="1"/>
  <c r="G80" i="2"/>
  <c r="F80" i="2"/>
  <c r="F79" i="2"/>
  <c r="G79" i="2" s="1"/>
  <c r="C12" i="3" s="1"/>
  <c r="G78" i="2"/>
  <c r="F78" i="2"/>
  <c r="G77" i="2"/>
  <c r="F77" i="2"/>
  <c r="G76" i="2"/>
  <c r="F76" i="2"/>
  <c r="F75" i="2"/>
  <c r="G75" i="2" s="1"/>
  <c r="G74" i="2"/>
  <c r="C11" i="3" s="1"/>
  <c r="F74" i="2"/>
  <c r="F73" i="2"/>
  <c r="G73" i="2" s="1"/>
  <c r="G72" i="2"/>
  <c r="F72" i="2"/>
  <c r="F71" i="2"/>
  <c r="G71" i="2" s="1"/>
  <c r="G70" i="2"/>
  <c r="F70" i="2"/>
  <c r="F69" i="2"/>
  <c r="G69" i="2" s="1"/>
  <c r="G68" i="2"/>
  <c r="F68" i="2"/>
  <c r="G67" i="2"/>
  <c r="F67" i="2"/>
  <c r="G66" i="2"/>
  <c r="F66" i="2"/>
  <c r="F65" i="2"/>
  <c r="G65" i="2" s="1"/>
  <c r="C9" i="3" s="1"/>
  <c r="G64" i="2"/>
  <c r="F64" i="2"/>
  <c r="F63" i="2"/>
  <c r="G63" i="2" s="1"/>
  <c r="G62" i="2"/>
  <c r="F62" i="2"/>
  <c r="F61" i="2"/>
  <c r="G61" i="2" s="1"/>
  <c r="G60" i="2"/>
  <c r="F60" i="2"/>
  <c r="F59" i="2"/>
  <c r="G59" i="2" s="1"/>
  <c r="G58" i="2"/>
  <c r="F58" i="2"/>
  <c r="G57" i="2"/>
  <c r="F57" i="2"/>
  <c r="G56" i="2"/>
  <c r="F56" i="2"/>
  <c r="F55" i="2"/>
  <c r="G55" i="2" s="1"/>
  <c r="G54" i="2"/>
  <c r="C7" i="3" s="1"/>
  <c r="F54" i="2"/>
  <c r="F53" i="2"/>
  <c r="G53" i="2" s="1"/>
  <c r="G52" i="2"/>
  <c r="F52" i="2"/>
  <c r="F51" i="2"/>
  <c r="G51" i="2" s="1"/>
  <c r="G50" i="2"/>
  <c r="F50" i="2"/>
  <c r="F49" i="2"/>
  <c r="G49" i="2" s="1"/>
  <c r="C6" i="3" s="1"/>
  <c r="G48" i="2"/>
  <c r="F48" i="2"/>
  <c r="G47" i="2"/>
  <c r="F47" i="2"/>
  <c r="G46" i="2"/>
  <c r="F46" i="2"/>
  <c r="F45" i="2"/>
  <c r="G45" i="2" s="1"/>
  <c r="G44" i="2"/>
  <c r="C5" i="3" s="1"/>
  <c r="F44" i="2"/>
  <c r="F43" i="2"/>
  <c r="G43" i="2" s="1"/>
  <c r="G42" i="2"/>
  <c r="F42" i="2"/>
  <c r="F41" i="2"/>
  <c r="G41" i="2" s="1"/>
  <c r="G40" i="2"/>
  <c r="F40" i="2"/>
  <c r="F39" i="2"/>
  <c r="G39" i="2" s="1"/>
  <c r="G38" i="2"/>
  <c r="F38" i="2"/>
  <c r="G37" i="2"/>
  <c r="F37" i="2"/>
  <c r="G36" i="2"/>
  <c r="F36" i="2"/>
  <c r="F35" i="2"/>
  <c r="G35" i="2" s="1"/>
  <c r="B11" i="3" s="1"/>
  <c r="E11" i="3" s="1"/>
  <c r="G34" i="2"/>
  <c r="F34" i="2"/>
  <c r="F33" i="2"/>
  <c r="G33" i="2" s="1"/>
  <c r="G32" i="2"/>
  <c r="F32" i="2"/>
  <c r="F31" i="2"/>
  <c r="G31" i="2" s="1"/>
  <c r="G30" i="2"/>
  <c r="F30" i="2"/>
  <c r="F29" i="2"/>
  <c r="G29" i="2" s="1"/>
  <c r="B10" i="3" s="1"/>
  <c r="G28" i="2"/>
  <c r="F28" i="2"/>
  <c r="G27" i="2"/>
  <c r="F27" i="2"/>
  <c r="G26" i="2"/>
  <c r="F26" i="2"/>
  <c r="F25" i="2"/>
  <c r="G25" i="2" s="1"/>
  <c r="B9" i="3" s="1"/>
  <c r="G24" i="2"/>
  <c r="F24" i="2"/>
  <c r="F23" i="2"/>
  <c r="G23" i="2" s="1"/>
  <c r="G22" i="2"/>
  <c r="F22" i="2"/>
  <c r="F21" i="2"/>
  <c r="G21" i="2" s="1"/>
  <c r="G20" i="2"/>
  <c r="F20" i="2"/>
  <c r="F19" i="2"/>
  <c r="G19" i="2" s="1"/>
  <c r="G18" i="2"/>
  <c r="F18" i="2"/>
  <c r="G17" i="2"/>
  <c r="F17" i="2"/>
  <c r="G16" i="2"/>
  <c r="F16" i="2"/>
  <c r="F15" i="2"/>
  <c r="G15" i="2" s="1"/>
  <c r="G14" i="2"/>
  <c r="B7" i="3" s="1"/>
  <c r="F14" i="2"/>
  <c r="F13" i="2"/>
  <c r="G13" i="2" s="1"/>
  <c r="G12" i="2"/>
  <c r="F12" i="2"/>
  <c r="F11" i="2"/>
  <c r="G11" i="2" s="1"/>
  <c r="G10" i="2"/>
  <c r="F10" i="2"/>
  <c r="F9" i="2"/>
  <c r="G9" i="2" s="1"/>
  <c r="G8" i="2"/>
  <c r="F8" i="2"/>
  <c r="G7" i="2"/>
  <c r="F7" i="2"/>
  <c r="G6" i="2"/>
  <c r="F6" i="2"/>
  <c r="F5" i="2"/>
  <c r="G5" i="2" s="1"/>
  <c r="G4" i="2"/>
  <c r="F4" i="2"/>
  <c r="D15" i="4" s="1"/>
  <c r="E9" i="3" l="1"/>
  <c r="E7" i="3"/>
  <c r="B12" i="3"/>
  <c r="E12" i="3" s="1"/>
  <c r="D6" i="3"/>
  <c r="C13" i="3"/>
  <c r="B14" i="5"/>
  <c r="C10" i="3"/>
  <c r="B8" i="3"/>
  <c r="E8" i="3" s="1"/>
  <c r="D12" i="3"/>
  <c r="B6" i="3"/>
  <c r="C8" i="3"/>
  <c r="D7" i="4" s="1"/>
  <c r="D5" i="3"/>
  <c r="D10" i="3"/>
  <c r="E10" i="3" s="1"/>
  <c r="D10" i="4"/>
  <c r="D11" i="4"/>
  <c r="B5" i="3"/>
  <c r="D14" i="4"/>
  <c r="G125" i="2"/>
  <c r="B13" i="5"/>
  <c r="B15" i="5" s="1"/>
  <c r="D13" i="3" l="1"/>
  <c r="E6" i="3"/>
  <c r="E5" i="3"/>
  <c r="E13" i="3" s="1"/>
  <c r="B13" i="3"/>
  <c r="B21" i="5"/>
</calcChain>
</file>

<file path=xl/sharedStrings.xml><?xml version="1.0" encoding="utf-8"?>
<sst xmlns="http://schemas.openxmlformats.org/spreadsheetml/2006/main" count="651" uniqueCount="199">
  <si>
    <t>СПРАВОЧНИКИ</t>
  </si>
  <si>
    <t>Номенклатура</t>
  </si>
  <si>
    <t>Торговые точки</t>
  </si>
  <si>
    <t>Код</t>
  </si>
  <si>
    <t>Наименование</t>
  </si>
  <si>
    <t>Категория</t>
  </si>
  <si>
    <t>Цена закупки</t>
  </si>
  <si>
    <t>Цена продажи</t>
  </si>
  <si>
    <t>Точка</t>
  </si>
  <si>
    <t>Регион</t>
  </si>
  <si>
    <t>Формат</t>
  </si>
  <si>
    <t>T-001</t>
  </si>
  <si>
    <t>Крупа гречневая, 900 г</t>
  </si>
  <si>
    <t>Бакалея</t>
  </si>
  <si>
    <t>Точка №1 «Центр»</t>
  </si>
  <si>
    <t>Северо-Запад</t>
  </si>
  <si>
    <t>Супермаркет</t>
  </si>
  <si>
    <t>T-002</t>
  </si>
  <si>
    <t>Мука пшеничная, 2 кг</t>
  </si>
  <si>
    <t>Точка №2 «Приморская»</t>
  </si>
  <si>
    <t>Магазин у дома</t>
  </si>
  <si>
    <t>T-003</t>
  </si>
  <si>
    <t>Сахар-песок, 1 кг</t>
  </si>
  <si>
    <t>Точка №3 «Заводская»</t>
  </si>
  <si>
    <t>Урал</t>
  </si>
  <si>
    <t>T-004</t>
  </si>
  <si>
    <t>Молоко 3,2 %, 1 л</t>
  </si>
  <si>
    <t>Молочная</t>
  </si>
  <si>
    <t>Точка №4 «Южная»</t>
  </si>
  <si>
    <t>Юг</t>
  </si>
  <si>
    <t>T-005</t>
  </si>
  <si>
    <t>Творог 5 %, 200 г</t>
  </si>
  <si>
    <t>Точка №5 «Вокзальная»</t>
  </si>
  <si>
    <t>Киоск</t>
  </si>
  <si>
    <t>T-006</t>
  </si>
  <si>
    <t>Сметана 20 %, 300 г</t>
  </si>
  <si>
    <t>Точка №6 «Парковая»</t>
  </si>
  <si>
    <t>T-007</t>
  </si>
  <si>
    <t>Сыр полутвердый, 250 г</t>
  </si>
  <si>
    <t>Точка №7 «Северная»</t>
  </si>
  <si>
    <t>T-008</t>
  </si>
  <si>
    <t>Кофе молотый, 250 г</t>
  </si>
  <si>
    <t>Напитки</t>
  </si>
  <si>
    <t>Точка №8 «Луговая»</t>
  </si>
  <si>
    <t>T-009</t>
  </si>
  <si>
    <t>Чай черный, 100 пак.</t>
  </si>
  <si>
    <t>T-010</t>
  </si>
  <si>
    <t>Сок яблочный, 1 л</t>
  </si>
  <si>
    <t>T-011</t>
  </si>
  <si>
    <t>Салфетки бумажные</t>
  </si>
  <si>
    <t>Непродовольственные</t>
  </si>
  <si>
    <t>T-012</t>
  </si>
  <si>
    <t>Пакеты фасовочные</t>
  </si>
  <si>
    <t>Шкала оптовой скидки (нижние границы объема)</t>
  </si>
  <si>
    <t>Объем закупки от, руб.</t>
  </si>
  <si>
    <t>Ставка скидки</t>
  </si>
  <si>
    <t>РЕЕСТР ПРОДАЖ ЗА I КВАРТАЛ 2026 ГОДА</t>
  </si>
  <si>
    <t>Дата</t>
  </si>
  <si>
    <t>Месяц</t>
  </si>
  <si>
    <t>Код товара</t>
  </si>
  <si>
    <t>Количество</t>
  </si>
  <si>
    <t>Сумма</t>
  </si>
  <si>
    <t>16.01.2026</t>
  </si>
  <si>
    <t>Январь</t>
  </si>
  <si>
    <t>23.01.2026</t>
  </si>
  <si>
    <t>09.01.2026</t>
  </si>
  <si>
    <t>22.01.2026</t>
  </si>
  <si>
    <t>18.01.2026</t>
  </si>
  <si>
    <t>01.01.2026</t>
  </si>
  <si>
    <t>27.01.2026</t>
  </si>
  <si>
    <t>19.01.2026</t>
  </si>
  <si>
    <t>20.01.2026</t>
  </si>
  <si>
    <t>04.01.2026</t>
  </si>
  <si>
    <t>11.01.2026</t>
  </si>
  <si>
    <t>07.01.2026</t>
  </si>
  <si>
    <t>08.01.2026</t>
  </si>
  <si>
    <t>10.01.2026</t>
  </si>
  <si>
    <t>05.01.2026</t>
  </si>
  <si>
    <t>13.01.2026</t>
  </si>
  <si>
    <t>06.01.2026</t>
  </si>
  <si>
    <t>02.01.2026</t>
  </si>
  <si>
    <t>21.01.2026</t>
  </si>
  <si>
    <t>24.01.2026</t>
  </si>
  <si>
    <t>16.02.2026</t>
  </si>
  <si>
    <t>Февраль</t>
  </si>
  <si>
    <t>11.02.2026</t>
  </si>
  <si>
    <t>05.02.2026</t>
  </si>
  <si>
    <t>22.02.2026</t>
  </si>
  <si>
    <t>27.02.2026</t>
  </si>
  <si>
    <t>07.02.2026</t>
  </si>
  <si>
    <t>01.02.2026</t>
  </si>
  <si>
    <t>24.02.2026</t>
  </si>
  <si>
    <t>03.02.2026</t>
  </si>
  <si>
    <t>23.02.2026</t>
  </si>
  <si>
    <t>13.02.2026</t>
  </si>
  <si>
    <t>10.02.2026</t>
  </si>
  <si>
    <t>26.02.2026</t>
  </si>
  <si>
    <t>06.02.2026</t>
  </si>
  <si>
    <t>02.02.2026</t>
  </si>
  <si>
    <t>15.02.2026</t>
  </si>
  <si>
    <t>09.02.2026</t>
  </si>
  <si>
    <t>14.02.2026</t>
  </si>
  <si>
    <t>21.02.2026</t>
  </si>
  <si>
    <t>04.02.2026</t>
  </si>
  <si>
    <t>12.02.2026</t>
  </si>
  <si>
    <t>11.03.2026</t>
  </si>
  <si>
    <t>Март</t>
  </si>
  <si>
    <t>02.03.2026</t>
  </si>
  <si>
    <t>23.03.2026</t>
  </si>
  <si>
    <t>06.03.2026</t>
  </si>
  <si>
    <t>13.03.2026</t>
  </si>
  <si>
    <t>27.03.2026</t>
  </si>
  <si>
    <t>14.03.2026</t>
  </si>
  <si>
    <t>12.03.2026</t>
  </si>
  <si>
    <t>18.03.2026</t>
  </si>
  <si>
    <t>03.03.2026</t>
  </si>
  <si>
    <t>21.03.2026</t>
  </si>
  <si>
    <t>16.03.2026</t>
  </si>
  <si>
    <t>10.03.2026</t>
  </si>
  <si>
    <t>01.03.2026</t>
  </si>
  <si>
    <t>24.03.2026</t>
  </si>
  <si>
    <t>08.03.2026</t>
  </si>
  <si>
    <t>19.03.2026</t>
  </si>
  <si>
    <t>20.03.2026</t>
  </si>
  <si>
    <t>26.03.2026</t>
  </si>
  <si>
    <t>25.03.2026</t>
  </si>
  <si>
    <t>15.03.2026</t>
  </si>
  <si>
    <t>ИТОГО</t>
  </si>
  <si>
    <t>ВЫРУЧКА ПО ТОЧКАМ И МЕСЯЦАМ</t>
  </si>
  <si>
    <t>Значения рассчитаны из реестра продаж. Лист используется для двустороннего поиска.</t>
  </si>
  <si>
    <t>Итого</t>
  </si>
  <si>
    <t>ЗАДАНИЯ ЗАНЯТИЯ 1.2</t>
  </si>
  <si>
    <t>Формулу надлежит ввести в желтую ячейку. Зеленая ячейка содержит контрольное значение, рассчитанное иным способом. Столбец «Проверка» показывает «ОК» при совпадении результатов.</t>
  </si>
  <si>
    <t>№</t>
  </si>
  <si>
    <t>Задание</t>
  </si>
  <si>
    <t>Ваша формула</t>
  </si>
  <si>
    <t>Контроль</t>
  </si>
  <si>
    <t>Проверка</t>
  </si>
  <si>
    <t>Параметры заданий</t>
  </si>
  <si>
    <t>1</t>
  </si>
  <si>
    <t>Найти наименование товара по коду (ячейка H5). Использовать ПРОСМОТРX.</t>
  </si>
  <si>
    <t>Искомый код товара</t>
  </si>
  <si>
    <t>2</t>
  </si>
  <si>
    <t>Найти наименование по несуществующему коду (H6) с выводом «не найден» вместо ошибки. Использовать четвертый аргумент ПРОСМОТРX.</t>
  </si>
  <si>
    <t>Несуществующий код</t>
  </si>
  <si>
    <t>T-999</t>
  </si>
  <si>
    <t>3</t>
  </si>
  <si>
    <t>Найти выручку на пересечении точки (H7) и месяца (H8) на листе «Матрица». Использовать двойной ПРОСМОТРX либо ПРОСМОТРX с вложенным аргументом.</t>
  </si>
  <si>
    <t>Точка для поиска</t>
  </si>
  <si>
    <t>4</t>
  </si>
  <si>
    <t>Определить ставку скидки для объема закупки (H9) по шкале листа «Справочники». Приближенный поиск: режим совпадения −1.</t>
  </si>
  <si>
    <t>Месяц для поиска</t>
  </si>
  <si>
    <t>5</t>
  </si>
  <si>
    <t>Найти категорию товара с наибольшей ценой продажи. Поиск с конца по отсортированным данным либо ПРОСМОТРX по максимуму.</t>
  </si>
  <si>
    <t>Объем закупки, руб.</t>
  </si>
  <si>
    <t>6</t>
  </si>
  <si>
    <t>Рассчитать сумму продаж по точке (H7) и категории (H10) одной формулой СУММПРОИЗВ. Категория товара определяется через справочник.</t>
  </si>
  <si>
    <t>Категория для отбора</t>
  </si>
  <si>
    <t>7</t>
  </si>
  <si>
    <t>Рассчитать средневзвешенную цену продажи по всему реестру: сумма выручки, деленная на суммарное количество. Числитель получить через СУММПРОИЗВ.</t>
  </si>
  <si>
    <t>Синие значения на желтом фоне допускается изменять.</t>
  </si>
  <si>
    <t>8</t>
  </si>
  <si>
    <t>Подсчитать количество строк реестра, где количество превышает 500 единиц и месяц равен «Март». Использовать СУММПРОИЗВ без функции ЕСЛИ.</t>
  </si>
  <si>
    <t>9</t>
  </si>
  <si>
    <t>Вывести список уникальных категорий номенклатуры. Использовать УНИК. Контроль показывает их количество.</t>
  </si>
  <si>
    <t>10</t>
  </si>
  <si>
    <t>Отобрать строки реестра по точке (H7) с суммой свыше 100 000 руб. Использовать ФИЛЬТР. Контроль показывает число отобранных строк.</t>
  </si>
  <si>
    <t>11</t>
  </si>
  <si>
    <t>Записать формулу задания 7 с использованием LET: объявить переменные «выручка» и «количество», вернуть их отношение.</t>
  </si>
  <si>
    <t>12</t>
  </si>
  <si>
    <t>Домашнее задание. С помощью LET рассчитать маржинальность по товару (H5): объявить цену закупки, цену продажи и вернуть долю наценки в цене продажи.</t>
  </si>
  <si>
    <t>Задания 1–8 выполняются в аудитории. Задания 9–12 — самостоятельно.</t>
  </si>
  <si>
    <t>МОДЕЛЬ ВЫЧИСЛЕНИЙ И ВОЛАТИЛЬНЫЕ ФУНКЦИИ</t>
  </si>
  <si>
    <t>Демонстрационный лист. Волатильные функции пересчитываются при любом изменении в книге, независимо от того, изменились ли их аргументы.</t>
  </si>
  <si>
    <t>Опыт 1. Наблюдение за пересчетом</t>
  </si>
  <si>
    <t>Невлотильная формула (зависит только от B6)</t>
  </si>
  <si>
    <t>Исходное значение</t>
  </si>
  <si>
    <t>Волатильная формула (СЛЧИС)</t>
  </si>
  <si>
    <t xml:space="preserve">Порядок опыта: изменить значение в B6 и наблюдать за B7. </t>
  </si>
  <si>
    <t>Значение B7 изменится, хотя эта формула от B6 не зависит.</t>
  </si>
  <si>
    <t>Опыт 2. Динамический диапазон двумя способами</t>
  </si>
  <si>
    <t>Сумма через СМЕЩ (волатильно)</t>
  </si>
  <si>
    <t>Сумма через прямую ссылку (не волатильно)</t>
  </si>
  <si>
    <t>Расхождение</t>
  </si>
  <si>
    <t>Результат одинаков. Различие состоит в цене: первая формула пересчитывается всегда, вторая — только при изменении реестра.</t>
  </si>
  <si>
    <t>Опыт 3. Косвенная ссылка</t>
  </si>
  <si>
    <t>Адрес ячейки (текстом)</t>
  </si>
  <si>
    <t>Матрица!E13</t>
  </si>
  <si>
    <t>Значение через ДВССЫЛ (волатильно)</t>
  </si>
  <si>
    <t>ДВССЫЛ не отслеживается трассировкой зависимостей: связь существует, но графом влияющих ячеек не обнаруживается.</t>
  </si>
  <si>
    <t>Перечень волатильных функций</t>
  </si>
  <si>
    <t>— СЛЧИС и СЛУЧМЕЖДУ</t>
  </si>
  <si>
    <t>— СЕГОДНЯ и ТДАТА</t>
  </si>
  <si>
    <t>— СМЕЩ</t>
  </si>
  <si>
    <t>— ДВССЫЛ</t>
  </si>
  <si>
    <t>— ЯЧЕЙКА (в ряде режимов)</t>
  </si>
  <si>
    <t>— ИНФОРМ</t>
  </si>
  <si>
    <t>Правило курса: волатильная функция применяется тогда, когда задача не решается иначе. Динамические диапазоны строятся структурированными таблицами, а не функцией СМЕЩ.</t>
  </si>
  <si>
    <t>Шкала отсортирована по возрастанию для удобства проверки. Для режима сопоставления −1 сортировка не обязательна; она требуется только при двоичном режиме поиска.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</si>
</sst>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* #,##0\ &quot;₽&quot;_-;\-* #,##0\ &quot;₽&quot;_-;_-* &quot;-&quot;\ &quot;₽&quot;_-;_-@_-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#\ ##0"/>
    <numFmt numFmtId="165" formatCode="0.0%"/>
    <numFmt numFmtId="166" formatCode="#\ ##0.00"/>
    <numFmt numFmtId="167" formatCode="0.000000"/>
  </numFmts>
  <fonts count="9" x14ac:knownFonts="1">
    <font>
      <sz val="11"/>
      <color theme="1"/>
      <name val="Calibri"/>
    </font>
    <font>
      <sz val="10"/>
      <name val="Arial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name val="Arial"/>
      <family val="2"/>
      <charset val="204"/>
    </font>
    <font>
      <i/>
      <sz val="10"/>
      <color rgb="FF555555"/>
      <name val="Arial"/>
      <family val="2"/>
      <charset val="204"/>
    </font>
    <font>
      <b/>
      <sz val="10"/>
      <color rgb="FF0000FF"/>
      <name val="Arial"/>
      <family val="2"/>
      <charset val="204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7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  <xf numFmtId="0" fontId="8" fillId="0" borderId="0"/>
  </cellStyleXfs>
  <cellXfs count="29">
    <xf numFmtId="0" fontId="0" fillId="0" borderId="0" xfId="0"/>
    <xf numFmtId="0" fontId="2" fillId="0" borderId="0" xfId="6" applyFont="1"/>
    <xf numFmtId="0" fontId="3" fillId="0" borderId="0" xfId="6" applyFont="1"/>
    <xf numFmtId="0" fontId="4" fillId="2" borderId="1" xfId="6" applyFont="1" applyFill="1" applyBorder="1" applyAlignment="1">
      <alignment horizontal="center" vertical="center" wrapText="1"/>
    </xf>
    <xf numFmtId="0" fontId="5" fillId="0" borderId="1" xfId="6" applyFont="1" applyBorder="1"/>
    <xf numFmtId="164" fontId="5" fillId="0" borderId="1" xfId="6" applyNumberFormat="1" applyFont="1" applyBorder="1"/>
    <xf numFmtId="165" fontId="5" fillId="0" borderId="1" xfId="6" applyNumberFormat="1" applyFont="1" applyBorder="1"/>
    <xf numFmtId="0" fontId="6" fillId="0" borderId="0" xfId="6" applyFont="1"/>
    <xf numFmtId="164" fontId="3" fillId="0" borderId="0" xfId="6" applyNumberFormat="1" applyFont="1"/>
    <xf numFmtId="164" fontId="3" fillId="0" borderId="1" xfId="6" applyNumberFormat="1" applyFont="1" applyBorder="1"/>
    <xf numFmtId="0" fontId="3" fillId="3" borderId="1" xfId="6" applyFont="1" applyFill="1" applyBorder="1"/>
    <xf numFmtId="164" fontId="3" fillId="3" borderId="1" xfId="6" applyNumberFormat="1" applyFont="1" applyFill="1" applyBorder="1"/>
    <xf numFmtId="0" fontId="3" fillId="0" borderId="1" xfId="6" applyFont="1" applyBorder="1" applyAlignment="1">
      <alignment horizontal="center" vertical="center" wrapText="1"/>
    </xf>
    <xf numFmtId="0" fontId="5" fillId="0" borderId="1" xfId="6" applyFont="1" applyBorder="1" applyAlignment="1">
      <alignment horizontal="left" vertical="top" wrapText="1"/>
    </xf>
    <xf numFmtId="49" fontId="7" fillId="4" borderId="1" xfId="6" applyNumberFormat="1" applyFont="1" applyFill="1" applyBorder="1"/>
    <xf numFmtId="49" fontId="5" fillId="5" borderId="1" xfId="6" applyNumberFormat="1" applyFont="1" applyFill="1" applyBorder="1"/>
    <xf numFmtId="0" fontId="5" fillId="0" borderId="0" xfId="6" applyFont="1"/>
    <xf numFmtId="0" fontId="7" fillId="4" borderId="1" xfId="6" applyFont="1" applyFill="1" applyBorder="1"/>
    <xf numFmtId="164" fontId="7" fillId="4" borderId="1" xfId="6" applyNumberFormat="1" applyFont="1" applyFill="1" applyBorder="1"/>
    <xf numFmtId="164" fontId="5" fillId="5" borderId="1" xfId="6" applyNumberFormat="1" applyFont="1" applyFill="1" applyBorder="1"/>
    <xf numFmtId="165" fontId="7" fillId="4" borderId="1" xfId="6" applyNumberFormat="1" applyFont="1" applyFill="1" applyBorder="1"/>
    <xf numFmtId="165" fontId="5" fillId="5" borderId="1" xfId="6" applyNumberFormat="1" applyFont="1" applyFill="1" applyBorder="1"/>
    <xf numFmtId="166" fontId="7" fillId="4" borderId="1" xfId="6" applyNumberFormat="1" applyFont="1" applyFill="1" applyBorder="1"/>
    <xf numFmtId="166" fontId="5" fillId="5" borderId="1" xfId="6" applyNumberFormat="1" applyFont="1" applyFill="1" applyBorder="1"/>
    <xf numFmtId="1" fontId="7" fillId="4" borderId="1" xfId="6" applyNumberFormat="1" applyFont="1" applyFill="1" applyBorder="1"/>
    <xf numFmtId="1" fontId="5" fillId="5" borderId="1" xfId="6" applyNumberFormat="1" applyFont="1" applyFill="1" applyBorder="1"/>
    <xf numFmtId="0" fontId="0" fillId="0" borderId="0" xfId="6" applyFont="1"/>
    <xf numFmtId="167" fontId="0" fillId="0" borderId="0" xfId="6" applyNumberFormat="1" applyFont="1"/>
    <xf numFmtId="164" fontId="0" fillId="0" borderId="0" xfId="6" applyNumberFormat="1" applyFont="1"/>
  </cellXfs>
  <cellStyles count="7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6" xr:uid="{00000000-0005-0000-0000-000000000000}"/>
    <cellStyle name="Percent" xfId="5" xr:uid="{00000000-0005-0000-0000-000005000000}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44546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showGridLines="0" workbookViewId="0"/>
  </sheetViews>
  <sheetFormatPr defaultColWidth="8.7109375" defaultRowHeight="15" x14ac:dyDescent="0.25"/>
  <cols>
    <col min="1" max="1" width="22" customWidth="1"/>
    <col min="2" max="2" width="30" customWidth="1"/>
    <col min="3" max="3" width="22" customWidth="1"/>
    <col min="4" max="5" width="14" customWidth="1"/>
    <col min="6" max="6" width="3" customWidth="1"/>
    <col min="7" max="7" width="24" customWidth="1"/>
    <col min="8" max="8" width="16" customWidth="1"/>
    <col min="9" max="9" width="18" customWidth="1"/>
  </cols>
  <sheetData>
    <row r="1" spans="1:9" ht="18" x14ac:dyDescent="0.25">
      <c r="A1" s="1" t="s">
        <v>0</v>
      </c>
    </row>
    <row r="3" spans="1:9" x14ac:dyDescent="0.25">
      <c r="A3" s="2" t="s">
        <v>1</v>
      </c>
      <c r="G3" s="2" t="s">
        <v>2</v>
      </c>
    </row>
    <row r="4" spans="1:9" ht="25.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78</v>
      </c>
      <c r="E5" s="5">
        <v>112</v>
      </c>
      <c r="G5" s="4" t="s">
        <v>14</v>
      </c>
      <c r="H5" s="4" t="s">
        <v>15</v>
      </c>
      <c r="I5" s="4" t="s">
        <v>16</v>
      </c>
    </row>
    <row r="6" spans="1:9" x14ac:dyDescent="0.25">
      <c r="A6" s="4" t="s">
        <v>17</v>
      </c>
      <c r="B6" s="4" t="s">
        <v>18</v>
      </c>
      <c r="C6" s="4" t="s">
        <v>13</v>
      </c>
      <c r="D6" s="5">
        <v>96</v>
      </c>
      <c r="E6" s="5">
        <v>139</v>
      </c>
      <c r="G6" s="4" t="s">
        <v>19</v>
      </c>
      <c r="H6" s="4" t="s">
        <v>15</v>
      </c>
      <c r="I6" s="4" t="s">
        <v>20</v>
      </c>
    </row>
    <row r="7" spans="1:9" x14ac:dyDescent="0.25">
      <c r="A7" s="4" t="s">
        <v>21</v>
      </c>
      <c r="B7" s="4" t="s">
        <v>22</v>
      </c>
      <c r="C7" s="4" t="s">
        <v>13</v>
      </c>
      <c r="D7" s="5">
        <v>64</v>
      </c>
      <c r="E7" s="5">
        <v>89</v>
      </c>
      <c r="G7" s="4" t="s">
        <v>23</v>
      </c>
      <c r="H7" s="4" t="s">
        <v>24</v>
      </c>
      <c r="I7" s="4" t="s">
        <v>20</v>
      </c>
    </row>
    <row r="8" spans="1:9" x14ac:dyDescent="0.25">
      <c r="A8" s="4" t="s">
        <v>25</v>
      </c>
      <c r="B8" s="4" t="s">
        <v>26</v>
      </c>
      <c r="C8" s="4" t="s">
        <v>27</v>
      </c>
      <c r="D8" s="5">
        <v>71</v>
      </c>
      <c r="E8" s="5">
        <v>98</v>
      </c>
      <c r="G8" s="4" t="s">
        <v>28</v>
      </c>
      <c r="H8" s="4" t="s">
        <v>29</v>
      </c>
      <c r="I8" s="4" t="s">
        <v>16</v>
      </c>
    </row>
    <row r="9" spans="1:9" x14ac:dyDescent="0.25">
      <c r="A9" s="4" t="s">
        <v>30</v>
      </c>
      <c r="B9" s="4" t="s">
        <v>31</v>
      </c>
      <c r="C9" s="4" t="s">
        <v>27</v>
      </c>
      <c r="D9" s="5">
        <v>88</v>
      </c>
      <c r="E9" s="5">
        <v>129</v>
      </c>
      <c r="G9" s="4" t="s">
        <v>32</v>
      </c>
      <c r="H9" s="4" t="s">
        <v>24</v>
      </c>
      <c r="I9" s="4" t="s">
        <v>33</v>
      </c>
    </row>
    <row r="10" spans="1:9" x14ac:dyDescent="0.25">
      <c r="A10" s="4" t="s">
        <v>34</v>
      </c>
      <c r="B10" s="4" t="s">
        <v>35</v>
      </c>
      <c r="C10" s="4" t="s">
        <v>27</v>
      </c>
      <c r="D10" s="5">
        <v>94</v>
      </c>
      <c r="E10" s="5">
        <v>138</v>
      </c>
      <c r="G10" s="4" t="s">
        <v>36</v>
      </c>
      <c r="H10" s="4" t="s">
        <v>29</v>
      </c>
      <c r="I10" s="4" t="s">
        <v>20</v>
      </c>
    </row>
    <row r="11" spans="1:9" x14ac:dyDescent="0.25">
      <c r="A11" s="4" t="s">
        <v>37</v>
      </c>
      <c r="B11" s="4" t="s">
        <v>38</v>
      </c>
      <c r="C11" s="4" t="s">
        <v>27</v>
      </c>
      <c r="D11" s="5">
        <v>210</v>
      </c>
      <c r="E11" s="5">
        <v>299</v>
      </c>
      <c r="G11" s="4" t="s">
        <v>39</v>
      </c>
      <c r="H11" s="4" t="s">
        <v>15</v>
      </c>
      <c r="I11" s="4" t="s">
        <v>16</v>
      </c>
    </row>
    <row r="12" spans="1:9" x14ac:dyDescent="0.25">
      <c r="A12" s="4" t="s">
        <v>40</v>
      </c>
      <c r="B12" s="4" t="s">
        <v>41</v>
      </c>
      <c r="C12" s="4" t="s">
        <v>42</v>
      </c>
      <c r="D12" s="5">
        <v>265</v>
      </c>
      <c r="E12" s="5">
        <v>379</v>
      </c>
      <c r="G12" s="4" t="s">
        <v>43</v>
      </c>
      <c r="H12" s="4" t="s">
        <v>24</v>
      </c>
      <c r="I12" s="4" t="s">
        <v>33</v>
      </c>
    </row>
    <row r="13" spans="1:9" x14ac:dyDescent="0.25">
      <c r="A13" s="4" t="s">
        <v>44</v>
      </c>
      <c r="B13" s="4" t="s">
        <v>45</v>
      </c>
      <c r="C13" s="4" t="s">
        <v>42</v>
      </c>
      <c r="D13" s="5">
        <v>148</v>
      </c>
      <c r="E13" s="5">
        <v>215</v>
      </c>
    </row>
    <row r="14" spans="1:9" x14ac:dyDescent="0.25">
      <c r="A14" s="4" t="s">
        <v>46</v>
      </c>
      <c r="B14" s="4" t="s">
        <v>47</v>
      </c>
      <c r="C14" s="4" t="s">
        <v>42</v>
      </c>
      <c r="D14" s="5">
        <v>84</v>
      </c>
      <c r="E14" s="5">
        <v>119</v>
      </c>
    </row>
    <row r="15" spans="1:9" x14ac:dyDescent="0.25">
      <c r="A15" s="4" t="s">
        <v>48</v>
      </c>
      <c r="B15" s="4" t="s">
        <v>49</v>
      </c>
      <c r="C15" s="4" t="s">
        <v>50</v>
      </c>
      <c r="D15" s="5">
        <v>42</v>
      </c>
      <c r="E15" s="5">
        <v>69</v>
      </c>
    </row>
    <row r="16" spans="1:9" x14ac:dyDescent="0.25">
      <c r="A16" s="4" t="s">
        <v>51</v>
      </c>
      <c r="B16" s="4" t="s">
        <v>52</v>
      </c>
      <c r="C16" s="4" t="s">
        <v>50</v>
      </c>
      <c r="D16" s="5">
        <v>31</v>
      </c>
      <c r="E16" s="5">
        <v>52</v>
      </c>
    </row>
    <row r="20" spans="1:2" x14ac:dyDescent="0.25">
      <c r="A20" s="2" t="s">
        <v>53</v>
      </c>
    </row>
    <row r="21" spans="1:2" ht="25.5" x14ac:dyDescent="0.25">
      <c r="A21" s="3" t="s">
        <v>54</v>
      </c>
      <c r="B21" s="3" t="s">
        <v>55</v>
      </c>
    </row>
    <row r="22" spans="1:2" x14ac:dyDescent="0.25">
      <c r="A22" s="5">
        <v>0</v>
      </c>
      <c r="B22" s="6">
        <v>0</v>
      </c>
    </row>
    <row r="23" spans="1:2" x14ac:dyDescent="0.25">
      <c r="A23" s="5">
        <v>500000</v>
      </c>
      <c r="B23" s="6">
        <v>0.02</v>
      </c>
    </row>
    <row r="24" spans="1:2" x14ac:dyDescent="0.25">
      <c r="A24" s="5">
        <v>1500000</v>
      </c>
      <c r="B24" s="6">
        <v>0.04</v>
      </c>
    </row>
    <row r="25" spans="1:2" x14ac:dyDescent="0.25">
      <c r="A25" s="5">
        <v>3000000</v>
      </c>
      <c r="B25" s="6">
        <v>7.0000000000000007E-2</v>
      </c>
    </row>
    <row r="26" spans="1:2" x14ac:dyDescent="0.25">
      <c r="A26" s="5">
        <v>6000000</v>
      </c>
      <c r="B26" s="6">
        <v>0.1</v>
      </c>
    </row>
    <row r="28" spans="1:2" x14ac:dyDescent="0.25">
      <c r="A28" s="7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5"/>
  <sheetViews>
    <sheetView showGridLines="0" workbookViewId="0"/>
  </sheetViews>
  <sheetFormatPr defaultColWidth="8.7109375" defaultRowHeight="15" x14ac:dyDescent="0.25"/>
  <cols>
    <col min="1" max="1" width="13" customWidth="1"/>
    <col min="2" max="2" width="12" customWidth="1"/>
    <col min="3" max="3" width="24" customWidth="1"/>
    <col min="4" max="5" width="13" customWidth="1"/>
    <col min="6" max="6" width="14" customWidth="1"/>
    <col min="7" max="7" width="15" customWidth="1"/>
  </cols>
  <sheetData>
    <row r="1" spans="1:7" ht="18" x14ac:dyDescent="0.25">
      <c r="A1" s="1" t="s">
        <v>56</v>
      </c>
    </row>
    <row r="3" spans="1:7" ht="25.5" x14ac:dyDescent="0.25">
      <c r="A3" s="3" t="s">
        <v>57</v>
      </c>
      <c r="B3" s="3" t="s">
        <v>58</v>
      </c>
      <c r="C3" s="3" t="s">
        <v>8</v>
      </c>
      <c r="D3" s="3" t="s">
        <v>59</v>
      </c>
      <c r="E3" s="3" t="s">
        <v>60</v>
      </c>
      <c r="F3" s="3" t="s">
        <v>7</v>
      </c>
      <c r="G3" s="3" t="s">
        <v>61</v>
      </c>
    </row>
    <row r="4" spans="1:7" x14ac:dyDescent="0.25">
      <c r="A4" s="4" t="s">
        <v>62</v>
      </c>
      <c r="B4" s="4" t="s">
        <v>63</v>
      </c>
      <c r="C4" s="4" t="s">
        <v>14</v>
      </c>
      <c r="D4" s="4" t="s">
        <v>48</v>
      </c>
      <c r="E4" s="4">
        <v>83</v>
      </c>
      <c r="F4" s="5">
        <f>INDEX(Справочники!$E$5:$E$16,MATCH(D4,Справочники!$A$5:$A$16,0))</f>
        <v>69</v>
      </c>
      <c r="G4" s="5">
        <f t="shared" ref="G4:G35" si="0">E4*F4</f>
        <v>5727</v>
      </c>
    </row>
    <row r="5" spans="1:7" x14ac:dyDescent="0.25">
      <c r="A5" s="4" t="s">
        <v>64</v>
      </c>
      <c r="B5" s="4" t="s">
        <v>63</v>
      </c>
      <c r="C5" s="4" t="s">
        <v>14</v>
      </c>
      <c r="D5" s="4" t="s">
        <v>51</v>
      </c>
      <c r="E5" s="4">
        <v>821</v>
      </c>
      <c r="F5" s="5">
        <f>INDEX(Справочники!$E$5:$E$16,MATCH(D5,Справочники!$A$5:$A$16,0))</f>
        <v>52</v>
      </c>
      <c r="G5" s="5">
        <f t="shared" si="0"/>
        <v>42692</v>
      </c>
    </row>
    <row r="6" spans="1:7" x14ac:dyDescent="0.25">
      <c r="A6" s="4" t="s">
        <v>65</v>
      </c>
      <c r="B6" s="4" t="s">
        <v>63</v>
      </c>
      <c r="C6" s="4" t="s">
        <v>14</v>
      </c>
      <c r="D6" s="4" t="s">
        <v>37</v>
      </c>
      <c r="E6" s="4">
        <v>808</v>
      </c>
      <c r="F6" s="5">
        <f>INDEX(Справочники!$E$5:$E$16,MATCH(D6,Справочники!$A$5:$A$16,0))</f>
        <v>299</v>
      </c>
      <c r="G6" s="5">
        <f t="shared" si="0"/>
        <v>241592</v>
      </c>
    </row>
    <row r="7" spans="1:7" x14ac:dyDescent="0.25">
      <c r="A7" s="4" t="s">
        <v>66</v>
      </c>
      <c r="B7" s="4" t="s">
        <v>63</v>
      </c>
      <c r="C7" s="4" t="s">
        <v>14</v>
      </c>
      <c r="D7" s="4" t="s">
        <v>25</v>
      </c>
      <c r="E7" s="4">
        <v>261</v>
      </c>
      <c r="F7" s="5">
        <f>INDEX(Справочники!$E$5:$E$16,MATCH(D7,Справочники!$A$5:$A$16,0))</f>
        <v>98</v>
      </c>
      <c r="G7" s="5">
        <f t="shared" si="0"/>
        <v>25578</v>
      </c>
    </row>
    <row r="8" spans="1:7" x14ac:dyDescent="0.25">
      <c r="A8" s="4" t="s">
        <v>67</v>
      </c>
      <c r="B8" s="4" t="s">
        <v>63</v>
      </c>
      <c r="C8" s="4" t="s">
        <v>14</v>
      </c>
      <c r="D8" s="4" t="s">
        <v>40</v>
      </c>
      <c r="E8" s="4">
        <v>751</v>
      </c>
      <c r="F8" s="5">
        <f>INDEX(Справочники!$E$5:$E$16,MATCH(D8,Справочники!$A$5:$A$16,0))</f>
        <v>379</v>
      </c>
      <c r="G8" s="5">
        <f t="shared" si="0"/>
        <v>284629</v>
      </c>
    </row>
    <row r="9" spans="1:7" x14ac:dyDescent="0.25">
      <c r="A9" s="4" t="s">
        <v>68</v>
      </c>
      <c r="B9" s="4" t="s">
        <v>63</v>
      </c>
      <c r="C9" s="4" t="s">
        <v>19</v>
      </c>
      <c r="D9" s="4" t="s">
        <v>21</v>
      </c>
      <c r="E9" s="4">
        <v>747</v>
      </c>
      <c r="F9" s="5">
        <f>INDEX(Справочники!$E$5:$E$16,MATCH(D9,Справочники!$A$5:$A$16,0))</f>
        <v>89</v>
      </c>
      <c r="G9" s="5">
        <f t="shared" si="0"/>
        <v>66483</v>
      </c>
    </row>
    <row r="10" spans="1:7" x14ac:dyDescent="0.25">
      <c r="A10" s="4" t="s">
        <v>69</v>
      </c>
      <c r="B10" s="4" t="s">
        <v>63</v>
      </c>
      <c r="C10" s="4" t="s">
        <v>19</v>
      </c>
      <c r="D10" s="4" t="s">
        <v>17</v>
      </c>
      <c r="E10" s="4">
        <v>131</v>
      </c>
      <c r="F10" s="5">
        <f>INDEX(Справочники!$E$5:$E$16,MATCH(D10,Справочники!$A$5:$A$16,0))</f>
        <v>139</v>
      </c>
      <c r="G10" s="5">
        <f t="shared" si="0"/>
        <v>18209</v>
      </c>
    </row>
    <row r="11" spans="1:7" x14ac:dyDescent="0.25">
      <c r="A11" s="4" t="s">
        <v>70</v>
      </c>
      <c r="B11" s="4" t="s">
        <v>63</v>
      </c>
      <c r="C11" s="4" t="s">
        <v>19</v>
      </c>
      <c r="D11" s="4" t="s">
        <v>40</v>
      </c>
      <c r="E11" s="4">
        <v>84</v>
      </c>
      <c r="F11" s="5">
        <f>INDEX(Справочники!$E$5:$E$16,MATCH(D11,Справочники!$A$5:$A$16,0))</f>
        <v>379</v>
      </c>
      <c r="G11" s="5">
        <f t="shared" si="0"/>
        <v>31836</v>
      </c>
    </row>
    <row r="12" spans="1:7" x14ac:dyDescent="0.25">
      <c r="A12" s="4" t="s">
        <v>71</v>
      </c>
      <c r="B12" s="4" t="s">
        <v>63</v>
      </c>
      <c r="C12" s="4" t="s">
        <v>19</v>
      </c>
      <c r="D12" s="4" t="s">
        <v>37</v>
      </c>
      <c r="E12" s="4">
        <v>911</v>
      </c>
      <c r="F12" s="5">
        <f>INDEX(Справочники!$E$5:$E$16,MATCH(D12,Справочники!$A$5:$A$16,0))</f>
        <v>299</v>
      </c>
      <c r="G12" s="5">
        <f t="shared" si="0"/>
        <v>272389</v>
      </c>
    </row>
    <row r="13" spans="1:7" x14ac:dyDescent="0.25">
      <c r="A13" s="4" t="s">
        <v>69</v>
      </c>
      <c r="B13" s="4" t="s">
        <v>63</v>
      </c>
      <c r="C13" s="4" t="s">
        <v>19</v>
      </c>
      <c r="D13" s="4" t="s">
        <v>46</v>
      </c>
      <c r="E13" s="4">
        <v>928</v>
      </c>
      <c r="F13" s="5">
        <f>INDEX(Справочники!$E$5:$E$16,MATCH(D13,Справочники!$A$5:$A$16,0))</f>
        <v>119</v>
      </c>
      <c r="G13" s="5">
        <f t="shared" si="0"/>
        <v>110432</v>
      </c>
    </row>
    <row r="14" spans="1:7" x14ac:dyDescent="0.25">
      <c r="A14" s="4" t="s">
        <v>72</v>
      </c>
      <c r="B14" s="4" t="s">
        <v>63</v>
      </c>
      <c r="C14" s="4" t="s">
        <v>23</v>
      </c>
      <c r="D14" s="4" t="s">
        <v>40</v>
      </c>
      <c r="E14" s="4">
        <v>378</v>
      </c>
      <c r="F14" s="5">
        <f>INDEX(Справочники!$E$5:$E$16,MATCH(D14,Справочники!$A$5:$A$16,0))</f>
        <v>379</v>
      </c>
      <c r="G14" s="5">
        <f t="shared" si="0"/>
        <v>143262</v>
      </c>
    </row>
    <row r="15" spans="1:7" x14ac:dyDescent="0.25">
      <c r="A15" s="4" t="s">
        <v>73</v>
      </c>
      <c r="B15" s="4" t="s">
        <v>63</v>
      </c>
      <c r="C15" s="4" t="s">
        <v>23</v>
      </c>
      <c r="D15" s="4" t="s">
        <v>25</v>
      </c>
      <c r="E15" s="4">
        <v>237</v>
      </c>
      <c r="F15" s="5">
        <f>INDEX(Справочники!$E$5:$E$16,MATCH(D15,Справочники!$A$5:$A$16,0))</f>
        <v>98</v>
      </c>
      <c r="G15" s="5">
        <f t="shared" si="0"/>
        <v>23226</v>
      </c>
    </row>
    <row r="16" spans="1:7" x14ac:dyDescent="0.25">
      <c r="A16" s="4" t="s">
        <v>74</v>
      </c>
      <c r="B16" s="4" t="s">
        <v>63</v>
      </c>
      <c r="C16" s="4" t="s">
        <v>23</v>
      </c>
      <c r="D16" s="4" t="s">
        <v>51</v>
      </c>
      <c r="E16" s="4">
        <v>123</v>
      </c>
      <c r="F16" s="5">
        <f>INDEX(Справочники!$E$5:$E$16,MATCH(D16,Справочники!$A$5:$A$16,0))</f>
        <v>52</v>
      </c>
      <c r="G16" s="5">
        <f t="shared" si="0"/>
        <v>6396</v>
      </c>
    </row>
    <row r="17" spans="1:7" x14ac:dyDescent="0.25">
      <c r="A17" s="4" t="s">
        <v>75</v>
      </c>
      <c r="B17" s="4" t="s">
        <v>63</v>
      </c>
      <c r="C17" s="4" t="s">
        <v>23</v>
      </c>
      <c r="D17" s="4" t="s">
        <v>37</v>
      </c>
      <c r="E17" s="4">
        <v>790</v>
      </c>
      <c r="F17" s="5">
        <f>INDEX(Справочники!$E$5:$E$16,MATCH(D17,Справочники!$A$5:$A$16,0))</f>
        <v>299</v>
      </c>
      <c r="G17" s="5">
        <f t="shared" si="0"/>
        <v>236210</v>
      </c>
    </row>
    <row r="18" spans="1:7" x14ac:dyDescent="0.25">
      <c r="A18" s="4" t="s">
        <v>75</v>
      </c>
      <c r="B18" s="4" t="s">
        <v>63</v>
      </c>
      <c r="C18" s="4" t="s">
        <v>23</v>
      </c>
      <c r="D18" s="4" t="s">
        <v>21</v>
      </c>
      <c r="E18" s="4">
        <v>655</v>
      </c>
      <c r="F18" s="5">
        <f>INDEX(Справочники!$E$5:$E$16,MATCH(D18,Справочники!$A$5:$A$16,0))</f>
        <v>89</v>
      </c>
      <c r="G18" s="5">
        <f t="shared" si="0"/>
        <v>58295</v>
      </c>
    </row>
    <row r="19" spans="1:7" x14ac:dyDescent="0.25">
      <c r="A19" s="4" t="s">
        <v>76</v>
      </c>
      <c r="B19" s="4" t="s">
        <v>63</v>
      </c>
      <c r="C19" s="4" t="s">
        <v>28</v>
      </c>
      <c r="D19" s="4" t="s">
        <v>21</v>
      </c>
      <c r="E19" s="4">
        <v>530</v>
      </c>
      <c r="F19" s="5">
        <f>INDEX(Справочники!$E$5:$E$16,MATCH(D19,Справочники!$A$5:$A$16,0))</f>
        <v>89</v>
      </c>
      <c r="G19" s="5">
        <f t="shared" si="0"/>
        <v>47170</v>
      </c>
    </row>
    <row r="20" spans="1:7" x14ac:dyDescent="0.25">
      <c r="A20" s="4" t="s">
        <v>77</v>
      </c>
      <c r="B20" s="4" t="s">
        <v>63</v>
      </c>
      <c r="C20" s="4" t="s">
        <v>28</v>
      </c>
      <c r="D20" s="4" t="s">
        <v>25</v>
      </c>
      <c r="E20" s="4">
        <v>95</v>
      </c>
      <c r="F20" s="5">
        <f>INDEX(Справочники!$E$5:$E$16,MATCH(D20,Справочники!$A$5:$A$16,0))</f>
        <v>98</v>
      </c>
      <c r="G20" s="5">
        <f t="shared" si="0"/>
        <v>9310</v>
      </c>
    </row>
    <row r="21" spans="1:7" x14ac:dyDescent="0.25">
      <c r="A21" s="4" t="s">
        <v>73</v>
      </c>
      <c r="B21" s="4" t="s">
        <v>63</v>
      </c>
      <c r="C21" s="4" t="s">
        <v>28</v>
      </c>
      <c r="D21" s="4" t="s">
        <v>40</v>
      </c>
      <c r="E21" s="4">
        <v>575</v>
      </c>
      <c r="F21" s="5">
        <f>INDEX(Справочники!$E$5:$E$16,MATCH(D21,Справочники!$A$5:$A$16,0))</f>
        <v>379</v>
      </c>
      <c r="G21" s="5">
        <f t="shared" si="0"/>
        <v>217925</v>
      </c>
    </row>
    <row r="22" spans="1:7" x14ac:dyDescent="0.25">
      <c r="A22" s="4" t="s">
        <v>78</v>
      </c>
      <c r="B22" s="4" t="s">
        <v>63</v>
      </c>
      <c r="C22" s="4" t="s">
        <v>28</v>
      </c>
      <c r="D22" s="4" t="s">
        <v>48</v>
      </c>
      <c r="E22" s="4">
        <v>370</v>
      </c>
      <c r="F22" s="5">
        <f>INDEX(Справочники!$E$5:$E$16,MATCH(D22,Справочники!$A$5:$A$16,0))</f>
        <v>69</v>
      </c>
      <c r="G22" s="5">
        <f t="shared" si="0"/>
        <v>25530</v>
      </c>
    </row>
    <row r="23" spans="1:7" x14ac:dyDescent="0.25">
      <c r="A23" s="4" t="s">
        <v>79</v>
      </c>
      <c r="B23" s="4" t="s">
        <v>63</v>
      </c>
      <c r="C23" s="4" t="s">
        <v>28</v>
      </c>
      <c r="D23" s="4" t="s">
        <v>17</v>
      </c>
      <c r="E23" s="4">
        <v>214</v>
      </c>
      <c r="F23" s="5">
        <f>INDEX(Справочники!$E$5:$E$16,MATCH(D23,Справочники!$A$5:$A$16,0))</f>
        <v>139</v>
      </c>
      <c r="G23" s="5">
        <f t="shared" si="0"/>
        <v>29746</v>
      </c>
    </row>
    <row r="24" spans="1:7" x14ac:dyDescent="0.25">
      <c r="A24" s="4" t="s">
        <v>78</v>
      </c>
      <c r="B24" s="4" t="s">
        <v>63</v>
      </c>
      <c r="C24" s="4" t="s">
        <v>32</v>
      </c>
      <c r="D24" s="4" t="s">
        <v>21</v>
      </c>
      <c r="E24" s="4">
        <v>905</v>
      </c>
      <c r="F24" s="5">
        <f>INDEX(Справочники!$E$5:$E$16,MATCH(D24,Справочники!$A$5:$A$16,0))</f>
        <v>89</v>
      </c>
      <c r="G24" s="5">
        <f t="shared" si="0"/>
        <v>80545</v>
      </c>
    </row>
    <row r="25" spans="1:7" x14ac:dyDescent="0.25">
      <c r="A25" s="4" t="s">
        <v>62</v>
      </c>
      <c r="B25" s="4" t="s">
        <v>63</v>
      </c>
      <c r="C25" s="4" t="s">
        <v>32</v>
      </c>
      <c r="D25" s="4" t="s">
        <v>44</v>
      </c>
      <c r="E25" s="4">
        <v>920</v>
      </c>
      <c r="F25" s="5">
        <f>INDEX(Справочники!$E$5:$E$16,MATCH(D25,Справочники!$A$5:$A$16,0))</f>
        <v>215</v>
      </c>
      <c r="G25" s="5">
        <f t="shared" si="0"/>
        <v>197800</v>
      </c>
    </row>
    <row r="26" spans="1:7" x14ac:dyDescent="0.25">
      <c r="A26" s="4" t="s">
        <v>79</v>
      </c>
      <c r="B26" s="4" t="s">
        <v>63</v>
      </c>
      <c r="C26" s="4" t="s">
        <v>32</v>
      </c>
      <c r="D26" s="4" t="s">
        <v>40</v>
      </c>
      <c r="E26" s="4">
        <v>515</v>
      </c>
      <c r="F26" s="5">
        <f>INDEX(Справочники!$E$5:$E$16,MATCH(D26,Справочники!$A$5:$A$16,0))</f>
        <v>379</v>
      </c>
      <c r="G26" s="5">
        <f t="shared" si="0"/>
        <v>195185</v>
      </c>
    </row>
    <row r="27" spans="1:7" x14ac:dyDescent="0.25">
      <c r="A27" s="4" t="s">
        <v>80</v>
      </c>
      <c r="B27" s="4" t="s">
        <v>63</v>
      </c>
      <c r="C27" s="4" t="s">
        <v>32</v>
      </c>
      <c r="D27" s="4" t="s">
        <v>51</v>
      </c>
      <c r="E27" s="4">
        <v>353</v>
      </c>
      <c r="F27" s="5">
        <f>INDEX(Справочники!$E$5:$E$16,MATCH(D27,Справочники!$A$5:$A$16,0))</f>
        <v>52</v>
      </c>
      <c r="G27" s="5">
        <f t="shared" si="0"/>
        <v>18356</v>
      </c>
    </row>
    <row r="28" spans="1:7" x14ac:dyDescent="0.25">
      <c r="A28" s="4" t="s">
        <v>81</v>
      </c>
      <c r="B28" s="4" t="s">
        <v>63</v>
      </c>
      <c r="C28" s="4" t="s">
        <v>32</v>
      </c>
      <c r="D28" s="4" t="s">
        <v>17</v>
      </c>
      <c r="E28" s="4">
        <v>320</v>
      </c>
      <c r="F28" s="5">
        <f>INDEX(Справочники!$E$5:$E$16,MATCH(D28,Справочники!$A$5:$A$16,0))</f>
        <v>139</v>
      </c>
      <c r="G28" s="5">
        <f t="shared" si="0"/>
        <v>44480</v>
      </c>
    </row>
    <row r="29" spans="1:7" x14ac:dyDescent="0.25">
      <c r="A29" s="4" t="s">
        <v>74</v>
      </c>
      <c r="B29" s="4" t="s">
        <v>63</v>
      </c>
      <c r="C29" s="4" t="s">
        <v>36</v>
      </c>
      <c r="D29" s="4" t="s">
        <v>25</v>
      </c>
      <c r="E29" s="4">
        <v>167</v>
      </c>
      <c r="F29" s="5">
        <f>INDEX(Справочники!$E$5:$E$16,MATCH(D29,Справочники!$A$5:$A$16,0))</f>
        <v>98</v>
      </c>
      <c r="G29" s="5">
        <f t="shared" si="0"/>
        <v>16366</v>
      </c>
    </row>
    <row r="30" spans="1:7" x14ac:dyDescent="0.25">
      <c r="A30" s="4" t="s">
        <v>64</v>
      </c>
      <c r="B30" s="4" t="s">
        <v>63</v>
      </c>
      <c r="C30" s="4" t="s">
        <v>36</v>
      </c>
      <c r="D30" s="4" t="s">
        <v>17</v>
      </c>
      <c r="E30" s="4">
        <v>318</v>
      </c>
      <c r="F30" s="5">
        <f>INDEX(Справочники!$E$5:$E$16,MATCH(D30,Справочники!$A$5:$A$16,0))</f>
        <v>139</v>
      </c>
      <c r="G30" s="5">
        <f t="shared" si="0"/>
        <v>44202</v>
      </c>
    </row>
    <row r="31" spans="1:7" x14ac:dyDescent="0.25">
      <c r="A31" s="4" t="s">
        <v>79</v>
      </c>
      <c r="B31" s="4" t="s">
        <v>63</v>
      </c>
      <c r="C31" s="4" t="s">
        <v>36</v>
      </c>
      <c r="D31" s="4" t="s">
        <v>46</v>
      </c>
      <c r="E31" s="4">
        <v>428</v>
      </c>
      <c r="F31" s="5">
        <f>INDEX(Справочники!$E$5:$E$16,MATCH(D31,Справочники!$A$5:$A$16,0))</f>
        <v>119</v>
      </c>
      <c r="G31" s="5">
        <f t="shared" si="0"/>
        <v>50932</v>
      </c>
    </row>
    <row r="32" spans="1:7" x14ac:dyDescent="0.25">
      <c r="A32" s="4" t="s">
        <v>72</v>
      </c>
      <c r="B32" s="4" t="s">
        <v>63</v>
      </c>
      <c r="C32" s="4" t="s">
        <v>36</v>
      </c>
      <c r="D32" s="4" t="s">
        <v>44</v>
      </c>
      <c r="E32" s="4">
        <v>506</v>
      </c>
      <c r="F32" s="5">
        <f>INDEX(Справочники!$E$5:$E$16,MATCH(D32,Справочники!$A$5:$A$16,0))</f>
        <v>215</v>
      </c>
      <c r="G32" s="5">
        <f t="shared" si="0"/>
        <v>108790</v>
      </c>
    </row>
    <row r="33" spans="1:7" x14ac:dyDescent="0.25">
      <c r="A33" s="4" t="s">
        <v>70</v>
      </c>
      <c r="B33" s="4" t="s">
        <v>63</v>
      </c>
      <c r="C33" s="4" t="s">
        <v>36</v>
      </c>
      <c r="D33" s="4" t="s">
        <v>48</v>
      </c>
      <c r="E33" s="4">
        <v>119</v>
      </c>
      <c r="F33" s="5">
        <f>INDEX(Справочники!$E$5:$E$16,MATCH(D33,Справочники!$A$5:$A$16,0))</f>
        <v>69</v>
      </c>
      <c r="G33" s="5">
        <f t="shared" si="0"/>
        <v>8211</v>
      </c>
    </row>
    <row r="34" spans="1:7" x14ac:dyDescent="0.25">
      <c r="A34" s="4" t="s">
        <v>75</v>
      </c>
      <c r="B34" s="4" t="s">
        <v>63</v>
      </c>
      <c r="C34" s="4" t="s">
        <v>39</v>
      </c>
      <c r="D34" s="4" t="s">
        <v>30</v>
      </c>
      <c r="E34" s="4">
        <v>243</v>
      </c>
      <c r="F34" s="5">
        <f>INDEX(Справочники!$E$5:$E$16,MATCH(D34,Справочники!$A$5:$A$16,0))</f>
        <v>129</v>
      </c>
      <c r="G34" s="5">
        <f t="shared" si="0"/>
        <v>31347</v>
      </c>
    </row>
    <row r="35" spans="1:7" x14ac:dyDescent="0.25">
      <c r="A35" s="4" t="s">
        <v>78</v>
      </c>
      <c r="B35" s="4" t="s">
        <v>63</v>
      </c>
      <c r="C35" s="4" t="s">
        <v>39</v>
      </c>
      <c r="D35" s="4" t="s">
        <v>37</v>
      </c>
      <c r="E35" s="4">
        <v>306</v>
      </c>
      <c r="F35" s="5">
        <f>INDEX(Справочники!$E$5:$E$16,MATCH(D35,Справочники!$A$5:$A$16,0))</f>
        <v>299</v>
      </c>
      <c r="G35" s="5">
        <f t="shared" si="0"/>
        <v>91494</v>
      </c>
    </row>
    <row r="36" spans="1:7" x14ac:dyDescent="0.25">
      <c r="A36" s="4" t="s">
        <v>72</v>
      </c>
      <c r="B36" s="4" t="s">
        <v>63</v>
      </c>
      <c r="C36" s="4" t="s">
        <v>39</v>
      </c>
      <c r="D36" s="4" t="s">
        <v>11</v>
      </c>
      <c r="E36" s="4">
        <v>284</v>
      </c>
      <c r="F36" s="5">
        <f>INDEX(Справочники!$E$5:$E$16,MATCH(D36,Справочники!$A$5:$A$16,0))</f>
        <v>112</v>
      </c>
      <c r="G36" s="5">
        <f t="shared" ref="G36:G67" si="1">E36*F36</f>
        <v>31808</v>
      </c>
    </row>
    <row r="37" spans="1:7" x14ac:dyDescent="0.25">
      <c r="A37" s="4" t="s">
        <v>82</v>
      </c>
      <c r="B37" s="4" t="s">
        <v>63</v>
      </c>
      <c r="C37" s="4" t="s">
        <v>39</v>
      </c>
      <c r="D37" s="4" t="s">
        <v>51</v>
      </c>
      <c r="E37" s="4">
        <v>709</v>
      </c>
      <c r="F37" s="5">
        <f>INDEX(Справочники!$E$5:$E$16,MATCH(D37,Справочники!$A$5:$A$16,0))</f>
        <v>52</v>
      </c>
      <c r="G37" s="5">
        <f t="shared" si="1"/>
        <v>36868</v>
      </c>
    </row>
    <row r="38" spans="1:7" x14ac:dyDescent="0.25">
      <c r="A38" s="4" t="s">
        <v>62</v>
      </c>
      <c r="B38" s="4" t="s">
        <v>63</v>
      </c>
      <c r="C38" s="4" t="s">
        <v>39</v>
      </c>
      <c r="D38" s="4" t="s">
        <v>21</v>
      </c>
      <c r="E38" s="4">
        <v>591</v>
      </c>
      <c r="F38" s="5">
        <f>INDEX(Справочники!$E$5:$E$16,MATCH(D38,Справочники!$A$5:$A$16,0))</f>
        <v>89</v>
      </c>
      <c r="G38" s="5">
        <f t="shared" si="1"/>
        <v>52599</v>
      </c>
    </row>
    <row r="39" spans="1:7" x14ac:dyDescent="0.25">
      <c r="A39" s="4" t="s">
        <v>62</v>
      </c>
      <c r="B39" s="4" t="s">
        <v>63</v>
      </c>
      <c r="C39" s="4" t="s">
        <v>43</v>
      </c>
      <c r="D39" s="4" t="s">
        <v>25</v>
      </c>
      <c r="E39" s="4">
        <v>445</v>
      </c>
      <c r="F39" s="5">
        <f>INDEX(Справочники!$E$5:$E$16,MATCH(D39,Справочники!$A$5:$A$16,0))</f>
        <v>98</v>
      </c>
      <c r="G39" s="5">
        <f t="shared" si="1"/>
        <v>43610</v>
      </c>
    </row>
    <row r="40" spans="1:7" x14ac:dyDescent="0.25">
      <c r="A40" s="4" t="s">
        <v>71</v>
      </c>
      <c r="B40" s="4" t="s">
        <v>63</v>
      </c>
      <c r="C40" s="4" t="s">
        <v>43</v>
      </c>
      <c r="D40" s="4" t="s">
        <v>37</v>
      </c>
      <c r="E40" s="4">
        <v>498</v>
      </c>
      <c r="F40" s="5">
        <f>INDEX(Справочники!$E$5:$E$16,MATCH(D40,Справочники!$A$5:$A$16,0))</f>
        <v>299</v>
      </c>
      <c r="G40" s="5">
        <f t="shared" si="1"/>
        <v>148902</v>
      </c>
    </row>
    <row r="41" spans="1:7" x14ac:dyDescent="0.25">
      <c r="A41" s="4" t="s">
        <v>79</v>
      </c>
      <c r="B41" s="4" t="s">
        <v>63</v>
      </c>
      <c r="C41" s="4" t="s">
        <v>43</v>
      </c>
      <c r="D41" s="4" t="s">
        <v>51</v>
      </c>
      <c r="E41" s="4">
        <v>681</v>
      </c>
      <c r="F41" s="5">
        <f>INDEX(Справочники!$E$5:$E$16,MATCH(D41,Справочники!$A$5:$A$16,0))</f>
        <v>52</v>
      </c>
      <c r="G41" s="5">
        <f t="shared" si="1"/>
        <v>35412</v>
      </c>
    </row>
    <row r="42" spans="1:7" x14ac:dyDescent="0.25">
      <c r="A42" s="4" t="s">
        <v>67</v>
      </c>
      <c r="B42" s="4" t="s">
        <v>63</v>
      </c>
      <c r="C42" s="4" t="s">
        <v>43</v>
      </c>
      <c r="D42" s="4" t="s">
        <v>30</v>
      </c>
      <c r="E42" s="4">
        <v>831</v>
      </c>
      <c r="F42" s="5">
        <f>INDEX(Справочники!$E$5:$E$16,MATCH(D42,Справочники!$A$5:$A$16,0))</f>
        <v>129</v>
      </c>
      <c r="G42" s="5">
        <f t="shared" si="1"/>
        <v>107199</v>
      </c>
    </row>
    <row r="43" spans="1:7" x14ac:dyDescent="0.25">
      <c r="A43" s="4" t="s">
        <v>74</v>
      </c>
      <c r="B43" s="4" t="s">
        <v>63</v>
      </c>
      <c r="C43" s="4" t="s">
        <v>43</v>
      </c>
      <c r="D43" s="4" t="s">
        <v>48</v>
      </c>
      <c r="E43" s="4">
        <v>928</v>
      </c>
      <c r="F43" s="5">
        <f>INDEX(Справочники!$E$5:$E$16,MATCH(D43,Справочники!$A$5:$A$16,0))</f>
        <v>69</v>
      </c>
      <c r="G43" s="5">
        <f t="shared" si="1"/>
        <v>64032</v>
      </c>
    </row>
    <row r="44" spans="1:7" x14ac:dyDescent="0.25">
      <c r="A44" s="4" t="s">
        <v>83</v>
      </c>
      <c r="B44" s="4" t="s">
        <v>84</v>
      </c>
      <c r="C44" s="4" t="s">
        <v>14</v>
      </c>
      <c r="D44" s="4" t="s">
        <v>48</v>
      </c>
      <c r="E44" s="4">
        <v>838</v>
      </c>
      <c r="F44" s="5">
        <f>INDEX(Справочники!$E$5:$E$16,MATCH(D44,Справочники!$A$5:$A$16,0))</f>
        <v>69</v>
      </c>
      <c r="G44" s="5">
        <f t="shared" si="1"/>
        <v>57822</v>
      </c>
    </row>
    <row r="45" spans="1:7" x14ac:dyDescent="0.25">
      <c r="A45" s="4" t="s">
        <v>85</v>
      </c>
      <c r="B45" s="4" t="s">
        <v>84</v>
      </c>
      <c r="C45" s="4" t="s">
        <v>14</v>
      </c>
      <c r="D45" s="4" t="s">
        <v>17</v>
      </c>
      <c r="E45" s="4">
        <v>273</v>
      </c>
      <c r="F45" s="5">
        <f>INDEX(Справочники!$E$5:$E$16,MATCH(D45,Справочники!$A$5:$A$16,0))</f>
        <v>139</v>
      </c>
      <c r="G45" s="5">
        <f t="shared" si="1"/>
        <v>37947</v>
      </c>
    </row>
    <row r="46" spans="1:7" x14ac:dyDescent="0.25">
      <c r="A46" s="4" t="s">
        <v>86</v>
      </c>
      <c r="B46" s="4" t="s">
        <v>84</v>
      </c>
      <c r="C46" s="4" t="s">
        <v>14</v>
      </c>
      <c r="D46" s="4" t="s">
        <v>40</v>
      </c>
      <c r="E46" s="4">
        <v>521</v>
      </c>
      <c r="F46" s="5">
        <f>INDEX(Справочники!$E$5:$E$16,MATCH(D46,Справочники!$A$5:$A$16,0))</f>
        <v>379</v>
      </c>
      <c r="G46" s="5">
        <f t="shared" si="1"/>
        <v>197459</v>
      </c>
    </row>
    <row r="47" spans="1:7" x14ac:dyDescent="0.25">
      <c r="A47" s="4" t="s">
        <v>87</v>
      </c>
      <c r="B47" s="4" t="s">
        <v>84</v>
      </c>
      <c r="C47" s="4" t="s">
        <v>14</v>
      </c>
      <c r="D47" s="4" t="s">
        <v>30</v>
      </c>
      <c r="E47" s="4">
        <v>237</v>
      </c>
      <c r="F47" s="5">
        <f>INDEX(Справочники!$E$5:$E$16,MATCH(D47,Справочники!$A$5:$A$16,0))</f>
        <v>129</v>
      </c>
      <c r="G47" s="5">
        <f t="shared" si="1"/>
        <v>30573</v>
      </c>
    </row>
    <row r="48" spans="1:7" x14ac:dyDescent="0.25">
      <c r="A48" s="4" t="s">
        <v>88</v>
      </c>
      <c r="B48" s="4" t="s">
        <v>84</v>
      </c>
      <c r="C48" s="4" t="s">
        <v>14</v>
      </c>
      <c r="D48" s="4" t="s">
        <v>46</v>
      </c>
      <c r="E48" s="4">
        <v>379</v>
      </c>
      <c r="F48" s="5">
        <f>INDEX(Справочники!$E$5:$E$16,MATCH(D48,Справочники!$A$5:$A$16,0))</f>
        <v>119</v>
      </c>
      <c r="G48" s="5">
        <f t="shared" si="1"/>
        <v>45101</v>
      </c>
    </row>
    <row r="49" spans="1:7" x14ac:dyDescent="0.25">
      <c r="A49" s="4" t="s">
        <v>89</v>
      </c>
      <c r="B49" s="4" t="s">
        <v>84</v>
      </c>
      <c r="C49" s="4" t="s">
        <v>19</v>
      </c>
      <c r="D49" s="4" t="s">
        <v>51</v>
      </c>
      <c r="E49" s="4">
        <v>695</v>
      </c>
      <c r="F49" s="5">
        <f>INDEX(Справочники!$E$5:$E$16,MATCH(D49,Справочники!$A$5:$A$16,0))</f>
        <v>52</v>
      </c>
      <c r="G49" s="5">
        <f t="shared" si="1"/>
        <v>36140</v>
      </c>
    </row>
    <row r="50" spans="1:7" x14ac:dyDescent="0.25">
      <c r="A50" s="4" t="s">
        <v>90</v>
      </c>
      <c r="B50" s="4" t="s">
        <v>84</v>
      </c>
      <c r="C50" s="4" t="s">
        <v>19</v>
      </c>
      <c r="D50" s="4" t="s">
        <v>40</v>
      </c>
      <c r="E50" s="4">
        <v>899</v>
      </c>
      <c r="F50" s="5">
        <f>INDEX(Справочники!$E$5:$E$16,MATCH(D50,Справочники!$A$5:$A$16,0))</f>
        <v>379</v>
      </c>
      <c r="G50" s="5">
        <f t="shared" si="1"/>
        <v>340721</v>
      </c>
    </row>
    <row r="51" spans="1:7" x14ac:dyDescent="0.25">
      <c r="A51" s="4" t="s">
        <v>91</v>
      </c>
      <c r="B51" s="4" t="s">
        <v>84</v>
      </c>
      <c r="C51" s="4" t="s">
        <v>19</v>
      </c>
      <c r="D51" s="4" t="s">
        <v>46</v>
      </c>
      <c r="E51" s="4">
        <v>837</v>
      </c>
      <c r="F51" s="5">
        <f>INDEX(Справочники!$E$5:$E$16,MATCH(D51,Справочники!$A$5:$A$16,0))</f>
        <v>119</v>
      </c>
      <c r="G51" s="5">
        <f t="shared" si="1"/>
        <v>99603</v>
      </c>
    </row>
    <row r="52" spans="1:7" x14ac:dyDescent="0.25">
      <c r="A52" s="4" t="s">
        <v>92</v>
      </c>
      <c r="B52" s="4" t="s">
        <v>84</v>
      </c>
      <c r="C52" s="4" t="s">
        <v>19</v>
      </c>
      <c r="D52" s="4" t="s">
        <v>48</v>
      </c>
      <c r="E52" s="4">
        <v>587</v>
      </c>
      <c r="F52" s="5">
        <f>INDEX(Справочники!$E$5:$E$16,MATCH(D52,Справочники!$A$5:$A$16,0))</f>
        <v>69</v>
      </c>
      <c r="G52" s="5">
        <f t="shared" si="1"/>
        <v>40503</v>
      </c>
    </row>
    <row r="53" spans="1:7" x14ac:dyDescent="0.25">
      <c r="A53" s="4" t="s">
        <v>93</v>
      </c>
      <c r="B53" s="4" t="s">
        <v>84</v>
      </c>
      <c r="C53" s="4" t="s">
        <v>19</v>
      </c>
      <c r="D53" s="4" t="s">
        <v>34</v>
      </c>
      <c r="E53" s="4">
        <v>430</v>
      </c>
      <c r="F53" s="5">
        <f>INDEX(Справочники!$E$5:$E$16,MATCH(D53,Справочники!$A$5:$A$16,0))</f>
        <v>138</v>
      </c>
      <c r="G53" s="5">
        <f t="shared" si="1"/>
        <v>59340</v>
      </c>
    </row>
    <row r="54" spans="1:7" x14ac:dyDescent="0.25">
      <c r="A54" s="4" t="s">
        <v>91</v>
      </c>
      <c r="B54" s="4" t="s">
        <v>84</v>
      </c>
      <c r="C54" s="4" t="s">
        <v>23</v>
      </c>
      <c r="D54" s="4" t="s">
        <v>25</v>
      </c>
      <c r="E54" s="4">
        <v>481</v>
      </c>
      <c r="F54" s="5">
        <f>INDEX(Справочники!$E$5:$E$16,MATCH(D54,Справочники!$A$5:$A$16,0))</f>
        <v>98</v>
      </c>
      <c r="G54" s="5">
        <f t="shared" si="1"/>
        <v>47138</v>
      </c>
    </row>
    <row r="55" spans="1:7" x14ac:dyDescent="0.25">
      <c r="A55" s="4" t="s">
        <v>94</v>
      </c>
      <c r="B55" s="4" t="s">
        <v>84</v>
      </c>
      <c r="C55" s="4" t="s">
        <v>23</v>
      </c>
      <c r="D55" s="4" t="s">
        <v>34</v>
      </c>
      <c r="E55" s="4">
        <v>788</v>
      </c>
      <c r="F55" s="5">
        <f>INDEX(Справочники!$E$5:$E$16,MATCH(D55,Справочники!$A$5:$A$16,0))</f>
        <v>138</v>
      </c>
      <c r="G55" s="5">
        <f t="shared" si="1"/>
        <v>108744</v>
      </c>
    </row>
    <row r="56" spans="1:7" x14ac:dyDescent="0.25">
      <c r="A56" s="4" t="s">
        <v>95</v>
      </c>
      <c r="B56" s="4" t="s">
        <v>84</v>
      </c>
      <c r="C56" s="4" t="s">
        <v>23</v>
      </c>
      <c r="D56" s="4" t="s">
        <v>51</v>
      </c>
      <c r="E56" s="4">
        <v>143</v>
      </c>
      <c r="F56" s="5">
        <f>INDEX(Справочники!$E$5:$E$16,MATCH(D56,Справочники!$A$5:$A$16,0))</f>
        <v>52</v>
      </c>
      <c r="G56" s="5">
        <f t="shared" si="1"/>
        <v>7436</v>
      </c>
    </row>
    <row r="57" spans="1:7" x14ac:dyDescent="0.25">
      <c r="A57" s="4" t="s">
        <v>96</v>
      </c>
      <c r="B57" s="4" t="s">
        <v>84</v>
      </c>
      <c r="C57" s="4" t="s">
        <v>23</v>
      </c>
      <c r="D57" s="4" t="s">
        <v>44</v>
      </c>
      <c r="E57" s="4">
        <v>670</v>
      </c>
      <c r="F57" s="5">
        <f>INDEX(Справочники!$E$5:$E$16,MATCH(D57,Справочники!$A$5:$A$16,0))</f>
        <v>215</v>
      </c>
      <c r="G57" s="5">
        <f t="shared" si="1"/>
        <v>144050</v>
      </c>
    </row>
    <row r="58" spans="1:7" x14ac:dyDescent="0.25">
      <c r="A58" s="4" t="s">
        <v>85</v>
      </c>
      <c r="B58" s="4" t="s">
        <v>84</v>
      </c>
      <c r="C58" s="4" t="s">
        <v>23</v>
      </c>
      <c r="D58" s="4" t="s">
        <v>48</v>
      </c>
      <c r="E58" s="4">
        <v>599</v>
      </c>
      <c r="F58" s="5">
        <f>INDEX(Справочники!$E$5:$E$16,MATCH(D58,Справочники!$A$5:$A$16,0))</f>
        <v>69</v>
      </c>
      <c r="G58" s="5">
        <f t="shared" si="1"/>
        <v>41331</v>
      </c>
    </row>
    <row r="59" spans="1:7" x14ac:dyDescent="0.25">
      <c r="A59" s="4" t="s">
        <v>87</v>
      </c>
      <c r="B59" s="4" t="s">
        <v>84</v>
      </c>
      <c r="C59" s="4" t="s">
        <v>28</v>
      </c>
      <c r="D59" s="4" t="s">
        <v>44</v>
      </c>
      <c r="E59" s="4">
        <v>321</v>
      </c>
      <c r="F59" s="5">
        <f>INDEX(Справочники!$E$5:$E$16,MATCH(D59,Справочники!$A$5:$A$16,0))</f>
        <v>215</v>
      </c>
      <c r="G59" s="5">
        <f t="shared" si="1"/>
        <v>69015</v>
      </c>
    </row>
    <row r="60" spans="1:7" x14ac:dyDescent="0.25">
      <c r="A60" s="4" t="s">
        <v>97</v>
      </c>
      <c r="B60" s="4" t="s">
        <v>84</v>
      </c>
      <c r="C60" s="4" t="s">
        <v>28</v>
      </c>
      <c r="D60" s="4" t="s">
        <v>37</v>
      </c>
      <c r="E60" s="4">
        <v>203</v>
      </c>
      <c r="F60" s="5">
        <f>INDEX(Справочники!$E$5:$E$16,MATCH(D60,Справочники!$A$5:$A$16,0))</f>
        <v>299</v>
      </c>
      <c r="G60" s="5">
        <f t="shared" si="1"/>
        <v>60697</v>
      </c>
    </row>
    <row r="61" spans="1:7" x14ac:dyDescent="0.25">
      <c r="A61" s="4" t="s">
        <v>98</v>
      </c>
      <c r="B61" s="4" t="s">
        <v>84</v>
      </c>
      <c r="C61" s="4" t="s">
        <v>28</v>
      </c>
      <c r="D61" s="4" t="s">
        <v>51</v>
      </c>
      <c r="E61" s="4">
        <v>333</v>
      </c>
      <c r="F61" s="5">
        <f>INDEX(Справочники!$E$5:$E$16,MATCH(D61,Справочники!$A$5:$A$16,0))</f>
        <v>52</v>
      </c>
      <c r="G61" s="5">
        <f t="shared" si="1"/>
        <v>17316</v>
      </c>
    </row>
    <row r="62" spans="1:7" x14ac:dyDescent="0.25">
      <c r="A62" s="4" t="s">
        <v>83</v>
      </c>
      <c r="B62" s="4" t="s">
        <v>84</v>
      </c>
      <c r="C62" s="4" t="s">
        <v>28</v>
      </c>
      <c r="D62" s="4" t="s">
        <v>46</v>
      </c>
      <c r="E62" s="4">
        <v>466</v>
      </c>
      <c r="F62" s="5">
        <f>INDEX(Справочники!$E$5:$E$16,MATCH(D62,Справочники!$A$5:$A$16,0))</f>
        <v>119</v>
      </c>
      <c r="G62" s="5">
        <f t="shared" si="1"/>
        <v>55454</v>
      </c>
    </row>
    <row r="63" spans="1:7" x14ac:dyDescent="0.25">
      <c r="A63" s="4" t="s">
        <v>86</v>
      </c>
      <c r="B63" s="4" t="s">
        <v>84</v>
      </c>
      <c r="C63" s="4" t="s">
        <v>28</v>
      </c>
      <c r="D63" s="4" t="s">
        <v>40</v>
      </c>
      <c r="E63" s="4">
        <v>811</v>
      </c>
      <c r="F63" s="5">
        <f>INDEX(Справочники!$E$5:$E$16,MATCH(D63,Справочники!$A$5:$A$16,0))</f>
        <v>379</v>
      </c>
      <c r="G63" s="5">
        <f t="shared" si="1"/>
        <v>307369</v>
      </c>
    </row>
    <row r="64" spans="1:7" x14ac:dyDescent="0.25">
      <c r="A64" s="4" t="s">
        <v>99</v>
      </c>
      <c r="B64" s="4" t="s">
        <v>84</v>
      </c>
      <c r="C64" s="4" t="s">
        <v>32</v>
      </c>
      <c r="D64" s="4" t="s">
        <v>30</v>
      </c>
      <c r="E64" s="4">
        <v>697</v>
      </c>
      <c r="F64" s="5">
        <f>INDEX(Справочники!$E$5:$E$16,MATCH(D64,Справочники!$A$5:$A$16,0))</f>
        <v>129</v>
      </c>
      <c r="G64" s="5">
        <f t="shared" si="1"/>
        <v>89913</v>
      </c>
    </row>
    <row r="65" spans="1:7" x14ac:dyDescent="0.25">
      <c r="A65" s="4" t="s">
        <v>85</v>
      </c>
      <c r="B65" s="4" t="s">
        <v>84</v>
      </c>
      <c r="C65" s="4" t="s">
        <v>32</v>
      </c>
      <c r="D65" s="4" t="s">
        <v>40</v>
      </c>
      <c r="E65" s="4">
        <v>89</v>
      </c>
      <c r="F65" s="5">
        <f>INDEX(Справочники!$E$5:$E$16,MATCH(D65,Справочники!$A$5:$A$16,0))</f>
        <v>379</v>
      </c>
      <c r="G65" s="5">
        <f t="shared" si="1"/>
        <v>33731</v>
      </c>
    </row>
    <row r="66" spans="1:7" x14ac:dyDescent="0.25">
      <c r="A66" s="4" t="s">
        <v>93</v>
      </c>
      <c r="B66" s="4" t="s">
        <v>84</v>
      </c>
      <c r="C66" s="4" t="s">
        <v>32</v>
      </c>
      <c r="D66" s="4" t="s">
        <v>46</v>
      </c>
      <c r="E66" s="4">
        <v>63</v>
      </c>
      <c r="F66" s="5">
        <f>INDEX(Справочники!$E$5:$E$16,MATCH(D66,Справочники!$A$5:$A$16,0))</f>
        <v>119</v>
      </c>
      <c r="G66" s="5">
        <f t="shared" si="1"/>
        <v>7497</v>
      </c>
    </row>
    <row r="67" spans="1:7" x14ac:dyDescent="0.25">
      <c r="A67" s="4" t="s">
        <v>97</v>
      </c>
      <c r="B67" s="4" t="s">
        <v>84</v>
      </c>
      <c r="C67" s="4" t="s">
        <v>32</v>
      </c>
      <c r="D67" s="4" t="s">
        <v>17</v>
      </c>
      <c r="E67" s="4">
        <v>659</v>
      </c>
      <c r="F67" s="5">
        <f>INDEX(Справочники!$E$5:$E$16,MATCH(D67,Справочники!$A$5:$A$16,0))</f>
        <v>139</v>
      </c>
      <c r="G67" s="5">
        <f t="shared" si="1"/>
        <v>91601</v>
      </c>
    </row>
    <row r="68" spans="1:7" x14ac:dyDescent="0.25">
      <c r="A68" s="4" t="s">
        <v>100</v>
      </c>
      <c r="B68" s="4" t="s">
        <v>84</v>
      </c>
      <c r="C68" s="4" t="s">
        <v>32</v>
      </c>
      <c r="D68" s="4" t="s">
        <v>37</v>
      </c>
      <c r="E68" s="4">
        <v>325</v>
      </c>
      <c r="F68" s="5">
        <f>INDEX(Справочники!$E$5:$E$16,MATCH(D68,Справочники!$A$5:$A$16,0))</f>
        <v>299</v>
      </c>
      <c r="G68" s="5">
        <f t="shared" ref="G68:G99" si="2">E68*F68</f>
        <v>97175</v>
      </c>
    </row>
    <row r="69" spans="1:7" x14ac:dyDescent="0.25">
      <c r="A69" s="4" t="s">
        <v>101</v>
      </c>
      <c r="B69" s="4" t="s">
        <v>84</v>
      </c>
      <c r="C69" s="4" t="s">
        <v>36</v>
      </c>
      <c r="D69" s="4" t="s">
        <v>25</v>
      </c>
      <c r="E69" s="4">
        <v>624</v>
      </c>
      <c r="F69" s="5">
        <f>INDEX(Справочники!$E$5:$E$16,MATCH(D69,Справочники!$A$5:$A$16,0))</f>
        <v>98</v>
      </c>
      <c r="G69" s="5">
        <f t="shared" si="2"/>
        <v>61152</v>
      </c>
    </row>
    <row r="70" spans="1:7" x14ac:dyDescent="0.25">
      <c r="A70" s="4" t="s">
        <v>101</v>
      </c>
      <c r="B70" s="4" t="s">
        <v>84</v>
      </c>
      <c r="C70" s="4" t="s">
        <v>36</v>
      </c>
      <c r="D70" s="4" t="s">
        <v>37</v>
      </c>
      <c r="E70" s="4">
        <v>296</v>
      </c>
      <c r="F70" s="5">
        <f>INDEX(Справочники!$E$5:$E$16,MATCH(D70,Справочники!$A$5:$A$16,0))</f>
        <v>299</v>
      </c>
      <c r="G70" s="5">
        <f t="shared" si="2"/>
        <v>88504</v>
      </c>
    </row>
    <row r="71" spans="1:7" x14ac:dyDescent="0.25">
      <c r="A71" s="4" t="s">
        <v>102</v>
      </c>
      <c r="B71" s="4" t="s">
        <v>84</v>
      </c>
      <c r="C71" s="4" t="s">
        <v>36</v>
      </c>
      <c r="D71" s="4" t="s">
        <v>34</v>
      </c>
      <c r="E71" s="4">
        <v>864</v>
      </c>
      <c r="F71" s="5">
        <f>INDEX(Справочники!$E$5:$E$16,MATCH(D71,Справочники!$A$5:$A$16,0))</f>
        <v>138</v>
      </c>
      <c r="G71" s="5">
        <f t="shared" si="2"/>
        <v>119232</v>
      </c>
    </row>
    <row r="72" spans="1:7" x14ac:dyDescent="0.25">
      <c r="A72" s="4" t="s">
        <v>103</v>
      </c>
      <c r="B72" s="4" t="s">
        <v>84</v>
      </c>
      <c r="C72" s="4" t="s">
        <v>36</v>
      </c>
      <c r="D72" s="4" t="s">
        <v>11</v>
      </c>
      <c r="E72" s="4">
        <v>486</v>
      </c>
      <c r="F72" s="5">
        <f>INDEX(Справочники!$E$5:$E$16,MATCH(D72,Справочники!$A$5:$A$16,0))</f>
        <v>112</v>
      </c>
      <c r="G72" s="5">
        <f t="shared" si="2"/>
        <v>54432</v>
      </c>
    </row>
    <row r="73" spans="1:7" x14ac:dyDescent="0.25">
      <c r="A73" s="4" t="s">
        <v>95</v>
      </c>
      <c r="B73" s="4" t="s">
        <v>84</v>
      </c>
      <c r="C73" s="4" t="s">
        <v>36</v>
      </c>
      <c r="D73" s="4" t="s">
        <v>48</v>
      </c>
      <c r="E73" s="4">
        <v>827</v>
      </c>
      <c r="F73" s="5">
        <f>INDEX(Справочники!$E$5:$E$16,MATCH(D73,Справочники!$A$5:$A$16,0))</f>
        <v>69</v>
      </c>
      <c r="G73" s="5">
        <f t="shared" si="2"/>
        <v>57063</v>
      </c>
    </row>
    <row r="74" spans="1:7" x14ac:dyDescent="0.25">
      <c r="A74" s="4" t="s">
        <v>99</v>
      </c>
      <c r="B74" s="4" t="s">
        <v>84</v>
      </c>
      <c r="C74" s="4" t="s">
        <v>39</v>
      </c>
      <c r="D74" s="4" t="s">
        <v>34</v>
      </c>
      <c r="E74" s="4">
        <v>633</v>
      </c>
      <c r="F74" s="5">
        <f>INDEX(Справочники!$E$5:$E$16,MATCH(D74,Справочники!$A$5:$A$16,0))</f>
        <v>138</v>
      </c>
      <c r="G74" s="5">
        <f t="shared" si="2"/>
        <v>87354</v>
      </c>
    </row>
    <row r="75" spans="1:7" x14ac:dyDescent="0.25">
      <c r="A75" s="4" t="s">
        <v>88</v>
      </c>
      <c r="B75" s="4" t="s">
        <v>84</v>
      </c>
      <c r="C75" s="4" t="s">
        <v>39</v>
      </c>
      <c r="D75" s="4" t="s">
        <v>46</v>
      </c>
      <c r="E75" s="4">
        <v>48</v>
      </c>
      <c r="F75" s="5">
        <f>INDEX(Справочники!$E$5:$E$16,MATCH(D75,Справочники!$A$5:$A$16,0))</f>
        <v>119</v>
      </c>
      <c r="G75" s="5">
        <f t="shared" si="2"/>
        <v>5712</v>
      </c>
    </row>
    <row r="76" spans="1:7" x14ac:dyDescent="0.25">
      <c r="A76" s="4" t="s">
        <v>87</v>
      </c>
      <c r="B76" s="4" t="s">
        <v>84</v>
      </c>
      <c r="C76" s="4" t="s">
        <v>39</v>
      </c>
      <c r="D76" s="4" t="s">
        <v>44</v>
      </c>
      <c r="E76" s="4">
        <v>513</v>
      </c>
      <c r="F76" s="5">
        <f>INDEX(Справочники!$E$5:$E$16,MATCH(D76,Справочники!$A$5:$A$16,0))</f>
        <v>215</v>
      </c>
      <c r="G76" s="5">
        <f t="shared" si="2"/>
        <v>110295</v>
      </c>
    </row>
    <row r="77" spans="1:7" x14ac:dyDescent="0.25">
      <c r="A77" s="4" t="s">
        <v>104</v>
      </c>
      <c r="B77" s="4" t="s">
        <v>84</v>
      </c>
      <c r="C77" s="4" t="s">
        <v>39</v>
      </c>
      <c r="D77" s="4" t="s">
        <v>37</v>
      </c>
      <c r="E77" s="4">
        <v>936</v>
      </c>
      <c r="F77" s="5">
        <f>INDEX(Справочники!$E$5:$E$16,MATCH(D77,Справочники!$A$5:$A$16,0))</f>
        <v>299</v>
      </c>
      <c r="G77" s="5">
        <f t="shared" si="2"/>
        <v>279864</v>
      </c>
    </row>
    <row r="78" spans="1:7" x14ac:dyDescent="0.25">
      <c r="A78" s="4" t="s">
        <v>83</v>
      </c>
      <c r="B78" s="4" t="s">
        <v>84</v>
      </c>
      <c r="C78" s="4" t="s">
        <v>39</v>
      </c>
      <c r="D78" s="4" t="s">
        <v>48</v>
      </c>
      <c r="E78" s="4">
        <v>71</v>
      </c>
      <c r="F78" s="5">
        <f>INDEX(Справочники!$E$5:$E$16,MATCH(D78,Справочники!$A$5:$A$16,0))</f>
        <v>69</v>
      </c>
      <c r="G78" s="5">
        <f t="shared" si="2"/>
        <v>4899</v>
      </c>
    </row>
    <row r="79" spans="1:7" x14ac:dyDescent="0.25">
      <c r="A79" s="4" t="s">
        <v>93</v>
      </c>
      <c r="B79" s="4" t="s">
        <v>84</v>
      </c>
      <c r="C79" s="4" t="s">
        <v>43</v>
      </c>
      <c r="D79" s="4" t="s">
        <v>17</v>
      </c>
      <c r="E79" s="4">
        <v>736</v>
      </c>
      <c r="F79" s="5">
        <f>INDEX(Справочники!$E$5:$E$16,MATCH(D79,Справочники!$A$5:$A$16,0))</f>
        <v>139</v>
      </c>
      <c r="G79" s="5">
        <f t="shared" si="2"/>
        <v>102304</v>
      </c>
    </row>
    <row r="80" spans="1:7" x14ac:dyDescent="0.25">
      <c r="A80" s="4" t="s">
        <v>96</v>
      </c>
      <c r="B80" s="4" t="s">
        <v>84</v>
      </c>
      <c r="C80" s="4" t="s">
        <v>43</v>
      </c>
      <c r="D80" s="4" t="s">
        <v>30</v>
      </c>
      <c r="E80" s="4">
        <v>398</v>
      </c>
      <c r="F80" s="5">
        <f>INDEX(Справочники!$E$5:$E$16,MATCH(D80,Справочники!$A$5:$A$16,0))</f>
        <v>129</v>
      </c>
      <c r="G80" s="5">
        <f t="shared" si="2"/>
        <v>51342</v>
      </c>
    </row>
    <row r="81" spans="1:7" x14ac:dyDescent="0.25">
      <c r="A81" s="4" t="s">
        <v>83</v>
      </c>
      <c r="B81" s="4" t="s">
        <v>84</v>
      </c>
      <c r="C81" s="4" t="s">
        <v>43</v>
      </c>
      <c r="D81" s="4" t="s">
        <v>11</v>
      </c>
      <c r="E81" s="4">
        <v>732</v>
      </c>
      <c r="F81" s="5">
        <f>INDEX(Справочники!$E$5:$E$16,MATCH(D81,Справочники!$A$5:$A$16,0))</f>
        <v>112</v>
      </c>
      <c r="G81" s="5">
        <f t="shared" si="2"/>
        <v>81984</v>
      </c>
    </row>
    <row r="82" spans="1:7" x14ac:dyDescent="0.25">
      <c r="A82" s="4" t="s">
        <v>101</v>
      </c>
      <c r="B82" s="4" t="s">
        <v>84</v>
      </c>
      <c r="C82" s="4" t="s">
        <v>43</v>
      </c>
      <c r="D82" s="4" t="s">
        <v>40</v>
      </c>
      <c r="E82" s="4">
        <v>225</v>
      </c>
      <c r="F82" s="5">
        <f>INDEX(Справочники!$E$5:$E$16,MATCH(D82,Справочники!$A$5:$A$16,0))</f>
        <v>379</v>
      </c>
      <c r="G82" s="5">
        <f t="shared" si="2"/>
        <v>85275</v>
      </c>
    </row>
    <row r="83" spans="1:7" x14ac:dyDescent="0.25">
      <c r="A83" s="4" t="s">
        <v>94</v>
      </c>
      <c r="B83" s="4" t="s">
        <v>84</v>
      </c>
      <c r="C83" s="4" t="s">
        <v>43</v>
      </c>
      <c r="D83" s="4" t="s">
        <v>25</v>
      </c>
      <c r="E83" s="4">
        <v>43</v>
      </c>
      <c r="F83" s="5">
        <f>INDEX(Справочники!$E$5:$E$16,MATCH(D83,Справочники!$A$5:$A$16,0))</f>
        <v>98</v>
      </c>
      <c r="G83" s="5">
        <f t="shared" si="2"/>
        <v>4214</v>
      </c>
    </row>
    <row r="84" spans="1:7" x14ac:dyDescent="0.25">
      <c r="A84" s="4" t="s">
        <v>105</v>
      </c>
      <c r="B84" s="4" t="s">
        <v>106</v>
      </c>
      <c r="C84" s="4" t="s">
        <v>14</v>
      </c>
      <c r="D84" s="4" t="s">
        <v>44</v>
      </c>
      <c r="E84" s="4">
        <v>771</v>
      </c>
      <c r="F84" s="5">
        <f>INDEX(Справочники!$E$5:$E$16,MATCH(D84,Справочники!$A$5:$A$16,0))</f>
        <v>215</v>
      </c>
      <c r="G84" s="5">
        <f t="shared" si="2"/>
        <v>165765</v>
      </c>
    </row>
    <row r="85" spans="1:7" x14ac:dyDescent="0.25">
      <c r="A85" s="4" t="s">
        <v>107</v>
      </c>
      <c r="B85" s="4" t="s">
        <v>106</v>
      </c>
      <c r="C85" s="4" t="s">
        <v>14</v>
      </c>
      <c r="D85" s="4" t="s">
        <v>17</v>
      </c>
      <c r="E85" s="4">
        <v>493</v>
      </c>
      <c r="F85" s="5">
        <f>INDEX(Справочники!$E$5:$E$16,MATCH(D85,Справочники!$A$5:$A$16,0))</f>
        <v>139</v>
      </c>
      <c r="G85" s="5">
        <f t="shared" si="2"/>
        <v>68527</v>
      </c>
    </row>
    <row r="86" spans="1:7" x14ac:dyDescent="0.25">
      <c r="A86" s="4" t="s">
        <v>108</v>
      </c>
      <c r="B86" s="4" t="s">
        <v>106</v>
      </c>
      <c r="C86" s="4" t="s">
        <v>14</v>
      </c>
      <c r="D86" s="4" t="s">
        <v>46</v>
      </c>
      <c r="E86" s="4">
        <v>905</v>
      </c>
      <c r="F86" s="5">
        <f>INDEX(Справочники!$E$5:$E$16,MATCH(D86,Справочники!$A$5:$A$16,0))</f>
        <v>119</v>
      </c>
      <c r="G86" s="5">
        <f t="shared" si="2"/>
        <v>107695</v>
      </c>
    </row>
    <row r="87" spans="1:7" x14ac:dyDescent="0.25">
      <c r="A87" s="4" t="s">
        <v>109</v>
      </c>
      <c r="B87" s="4" t="s">
        <v>106</v>
      </c>
      <c r="C87" s="4" t="s">
        <v>14</v>
      </c>
      <c r="D87" s="4" t="s">
        <v>51</v>
      </c>
      <c r="E87" s="4">
        <v>395</v>
      </c>
      <c r="F87" s="5">
        <f>INDEX(Справочники!$E$5:$E$16,MATCH(D87,Справочники!$A$5:$A$16,0))</f>
        <v>52</v>
      </c>
      <c r="G87" s="5">
        <f t="shared" si="2"/>
        <v>20540</v>
      </c>
    </row>
    <row r="88" spans="1:7" x14ac:dyDescent="0.25">
      <c r="A88" s="4" t="s">
        <v>110</v>
      </c>
      <c r="B88" s="4" t="s">
        <v>106</v>
      </c>
      <c r="C88" s="4" t="s">
        <v>14</v>
      </c>
      <c r="D88" s="4" t="s">
        <v>40</v>
      </c>
      <c r="E88" s="4">
        <v>601</v>
      </c>
      <c r="F88" s="5">
        <f>INDEX(Справочники!$E$5:$E$16,MATCH(D88,Справочники!$A$5:$A$16,0))</f>
        <v>379</v>
      </c>
      <c r="G88" s="5">
        <f t="shared" si="2"/>
        <v>227779</v>
      </c>
    </row>
    <row r="89" spans="1:7" x14ac:dyDescent="0.25">
      <c r="A89" s="4" t="s">
        <v>111</v>
      </c>
      <c r="B89" s="4" t="s">
        <v>106</v>
      </c>
      <c r="C89" s="4" t="s">
        <v>19</v>
      </c>
      <c r="D89" s="4" t="s">
        <v>34</v>
      </c>
      <c r="E89" s="4">
        <v>461</v>
      </c>
      <c r="F89" s="5">
        <f>INDEX(Справочники!$E$5:$E$16,MATCH(D89,Справочники!$A$5:$A$16,0))</f>
        <v>138</v>
      </c>
      <c r="G89" s="5">
        <f t="shared" si="2"/>
        <v>63618</v>
      </c>
    </row>
    <row r="90" spans="1:7" x14ac:dyDescent="0.25">
      <c r="A90" s="4" t="s">
        <v>109</v>
      </c>
      <c r="B90" s="4" t="s">
        <v>106</v>
      </c>
      <c r="C90" s="4" t="s">
        <v>19</v>
      </c>
      <c r="D90" s="4" t="s">
        <v>48</v>
      </c>
      <c r="E90" s="4">
        <v>473</v>
      </c>
      <c r="F90" s="5">
        <f>INDEX(Справочники!$E$5:$E$16,MATCH(D90,Справочники!$A$5:$A$16,0))</f>
        <v>69</v>
      </c>
      <c r="G90" s="5">
        <f t="shared" si="2"/>
        <v>32637</v>
      </c>
    </row>
    <row r="91" spans="1:7" x14ac:dyDescent="0.25">
      <c r="A91" s="4" t="s">
        <v>112</v>
      </c>
      <c r="B91" s="4" t="s">
        <v>106</v>
      </c>
      <c r="C91" s="4" t="s">
        <v>19</v>
      </c>
      <c r="D91" s="4" t="s">
        <v>17</v>
      </c>
      <c r="E91" s="4">
        <v>299</v>
      </c>
      <c r="F91" s="5">
        <f>INDEX(Справочники!$E$5:$E$16,MATCH(D91,Справочники!$A$5:$A$16,0))</f>
        <v>139</v>
      </c>
      <c r="G91" s="5">
        <f t="shared" si="2"/>
        <v>41561</v>
      </c>
    </row>
    <row r="92" spans="1:7" x14ac:dyDescent="0.25">
      <c r="A92" s="4" t="s">
        <v>113</v>
      </c>
      <c r="B92" s="4" t="s">
        <v>106</v>
      </c>
      <c r="C92" s="4" t="s">
        <v>19</v>
      </c>
      <c r="D92" s="4" t="s">
        <v>46</v>
      </c>
      <c r="E92" s="4">
        <v>195</v>
      </c>
      <c r="F92" s="5">
        <f>INDEX(Справочники!$E$5:$E$16,MATCH(D92,Справочники!$A$5:$A$16,0))</f>
        <v>119</v>
      </c>
      <c r="G92" s="5">
        <f t="shared" si="2"/>
        <v>23205</v>
      </c>
    </row>
    <row r="93" spans="1:7" x14ac:dyDescent="0.25">
      <c r="A93" s="4" t="s">
        <v>109</v>
      </c>
      <c r="B93" s="4" t="s">
        <v>106</v>
      </c>
      <c r="C93" s="4" t="s">
        <v>19</v>
      </c>
      <c r="D93" s="4" t="s">
        <v>44</v>
      </c>
      <c r="E93" s="4">
        <v>527</v>
      </c>
      <c r="F93" s="5">
        <f>INDEX(Справочники!$E$5:$E$16,MATCH(D93,Справочники!$A$5:$A$16,0))</f>
        <v>215</v>
      </c>
      <c r="G93" s="5">
        <f t="shared" si="2"/>
        <v>113305</v>
      </c>
    </row>
    <row r="94" spans="1:7" x14ac:dyDescent="0.25">
      <c r="A94" s="4" t="s">
        <v>114</v>
      </c>
      <c r="B94" s="4" t="s">
        <v>106</v>
      </c>
      <c r="C94" s="4" t="s">
        <v>23</v>
      </c>
      <c r="D94" s="4" t="s">
        <v>51</v>
      </c>
      <c r="E94" s="4">
        <v>318</v>
      </c>
      <c r="F94" s="5">
        <f>INDEX(Справочники!$E$5:$E$16,MATCH(D94,Справочники!$A$5:$A$16,0))</f>
        <v>52</v>
      </c>
      <c r="G94" s="5">
        <f t="shared" si="2"/>
        <v>16536</v>
      </c>
    </row>
    <row r="95" spans="1:7" x14ac:dyDescent="0.25">
      <c r="A95" s="4" t="s">
        <v>115</v>
      </c>
      <c r="B95" s="4" t="s">
        <v>106</v>
      </c>
      <c r="C95" s="4" t="s">
        <v>23</v>
      </c>
      <c r="D95" s="4" t="s">
        <v>30</v>
      </c>
      <c r="E95" s="4">
        <v>765</v>
      </c>
      <c r="F95" s="5">
        <f>INDEX(Справочники!$E$5:$E$16,MATCH(D95,Справочники!$A$5:$A$16,0))</f>
        <v>129</v>
      </c>
      <c r="G95" s="5">
        <f t="shared" si="2"/>
        <v>98685</v>
      </c>
    </row>
    <row r="96" spans="1:7" x14ac:dyDescent="0.25">
      <c r="A96" s="4" t="s">
        <v>116</v>
      </c>
      <c r="B96" s="4" t="s">
        <v>106</v>
      </c>
      <c r="C96" s="4" t="s">
        <v>23</v>
      </c>
      <c r="D96" s="4" t="s">
        <v>34</v>
      </c>
      <c r="E96" s="4">
        <v>942</v>
      </c>
      <c r="F96" s="5">
        <f>INDEX(Справочники!$E$5:$E$16,MATCH(D96,Справочники!$A$5:$A$16,0))</f>
        <v>138</v>
      </c>
      <c r="G96" s="5">
        <f t="shared" si="2"/>
        <v>129996</v>
      </c>
    </row>
    <row r="97" spans="1:7" x14ac:dyDescent="0.25">
      <c r="A97" s="4" t="s">
        <v>112</v>
      </c>
      <c r="B97" s="4" t="s">
        <v>106</v>
      </c>
      <c r="C97" s="4" t="s">
        <v>23</v>
      </c>
      <c r="D97" s="4" t="s">
        <v>17</v>
      </c>
      <c r="E97" s="4">
        <v>248</v>
      </c>
      <c r="F97" s="5">
        <f>INDEX(Справочники!$E$5:$E$16,MATCH(D97,Справочники!$A$5:$A$16,0))</f>
        <v>139</v>
      </c>
      <c r="G97" s="5">
        <f t="shared" si="2"/>
        <v>34472</v>
      </c>
    </row>
    <row r="98" spans="1:7" x14ac:dyDescent="0.25">
      <c r="A98" s="4" t="s">
        <v>117</v>
      </c>
      <c r="B98" s="4" t="s">
        <v>106</v>
      </c>
      <c r="C98" s="4" t="s">
        <v>23</v>
      </c>
      <c r="D98" s="4" t="s">
        <v>44</v>
      </c>
      <c r="E98" s="4">
        <v>368</v>
      </c>
      <c r="F98" s="5">
        <f>INDEX(Справочники!$E$5:$E$16,MATCH(D98,Справочники!$A$5:$A$16,0))</f>
        <v>215</v>
      </c>
      <c r="G98" s="5">
        <f t="shared" si="2"/>
        <v>79120</v>
      </c>
    </row>
    <row r="99" spans="1:7" x14ac:dyDescent="0.25">
      <c r="A99" s="4" t="s">
        <v>118</v>
      </c>
      <c r="B99" s="4" t="s">
        <v>106</v>
      </c>
      <c r="C99" s="4" t="s">
        <v>28</v>
      </c>
      <c r="D99" s="4" t="s">
        <v>46</v>
      </c>
      <c r="E99" s="4">
        <v>263</v>
      </c>
      <c r="F99" s="5">
        <f>INDEX(Справочники!$E$5:$E$16,MATCH(D99,Справочники!$A$5:$A$16,0))</f>
        <v>119</v>
      </c>
      <c r="G99" s="5">
        <f t="shared" si="2"/>
        <v>31297</v>
      </c>
    </row>
    <row r="100" spans="1:7" x14ac:dyDescent="0.25">
      <c r="A100" s="4" t="s">
        <v>105</v>
      </c>
      <c r="B100" s="4" t="s">
        <v>106</v>
      </c>
      <c r="C100" s="4" t="s">
        <v>28</v>
      </c>
      <c r="D100" s="4" t="s">
        <v>11</v>
      </c>
      <c r="E100" s="4">
        <v>743</v>
      </c>
      <c r="F100" s="5">
        <f>INDEX(Справочники!$E$5:$E$16,MATCH(D100,Справочники!$A$5:$A$16,0))</f>
        <v>112</v>
      </c>
      <c r="G100" s="5">
        <f t="shared" ref="G100:G123" si="3">E100*F100</f>
        <v>83216</v>
      </c>
    </row>
    <row r="101" spans="1:7" x14ac:dyDescent="0.25">
      <c r="A101" s="4" t="s">
        <v>105</v>
      </c>
      <c r="B101" s="4" t="s">
        <v>106</v>
      </c>
      <c r="C101" s="4" t="s">
        <v>28</v>
      </c>
      <c r="D101" s="4" t="s">
        <v>40</v>
      </c>
      <c r="E101" s="4">
        <v>675</v>
      </c>
      <c r="F101" s="5">
        <f>INDEX(Справочники!$E$5:$E$16,MATCH(D101,Справочники!$A$5:$A$16,0))</f>
        <v>379</v>
      </c>
      <c r="G101" s="5">
        <f t="shared" si="3"/>
        <v>255825</v>
      </c>
    </row>
    <row r="102" spans="1:7" x14ac:dyDescent="0.25">
      <c r="A102" s="4" t="s">
        <v>114</v>
      </c>
      <c r="B102" s="4" t="s">
        <v>106</v>
      </c>
      <c r="C102" s="4" t="s">
        <v>28</v>
      </c>
      <c r="D102" s="4" t="s">
        <v>37</v>
      </c>
      <c r="E102" s="4">
        <v>209</v>
      </c>
      <c r="F102" s="5">
        <f>INDEX(Справочники!$E$5:$E$16,MATCH(D102,Справочники!$A$5:$A$16,0))</f>
        <v>299</v>
      </c>
      <c r="G102" s="5">
        <f t="shared" si="3"/>
        <v>62491</v>
      </c>
    </row>
    <row r="103" spans="1:7" x14ac:dyDescent="0.25">
      <c r="A103" s="4" t="s">
        <v>119</v>
      </c>
      <c r="B103" s="4" t="s">
        <v>106</v>
      </c>
      <c r="C103" s="4" t="s">
        <v>28</v>
      </c>
      <c r="D103" s="4" t="s">
        <v>17</v>
      </c>
      <c r="E103" s="4">
        <v>650</v>
      </c>
      <c r="F103" s="5">
        <f>INDEX(Справочники!$E$5:$E$16,MATCH(D103,Справочники!$A$5:$A$16,0))</f>
        <v>139</v>
      </c>
      <c r="G103" s="5">
        <f t="shared" si="3"/>
        <v>90350</v>
      </c>
    </row>
    <row r="104" spans="1:7" x14ac:dyDescent="0.25">
      <c r="A104" s="4" t="s">
        <v>120</v>
      </c>
      <c r="B104" s="4" t="s">
        <v>106</v>
      </c>
      <c r="C104" s="4" t="s">
        <v>32</v>
      </c>
      <c r="D104" s="4" t="s">
        <v>44</v>
      </c>
      <c r="E104" s="4">
        <v>840</v>
      </c>
      <c r="F104" s="5">
        <f>INDEX(Справочники!$E$5:$E$16,MATCH(D104,Справочники!$A$5:$A$16,0))</f>
        <v>215</v>
      </c>
      <c r="G104" s="5">
        <f t="shared" si="3"/>
        <v>180600</v>
      </c>
    </row>
    <row r="105" spans="1:7" x14ac:dyDescent="0.25">
      <c r="A105" s="4" t="s">
        <v>108</v>
      </c>
      <c r="B105" s="4" t="s">
        <v>106</v>
      </c>
      <c r="C105" s="4" t="s">
        <v>32</v>
      </c>
      <c r="D105" s="4" t="s">
        <v>48</v>
      </c>
      <c r="E105" s="4">
        <v>878</v>
      </c>
      <c r="F105" s="5">
        <f>INDEX(Справочники!$E$5:$E$16,MATCH(D105,Справочники!$A$5:$A$16,0))</f>
        <v>69</v>
      </c>
      <c r="G105" s="5">
        <f t="shared" si="3"/>
        <v>60582</v>
      </c>
    </row>
    <row r="106" spans="1:7" x14ac:dyDescent="0.25">
      <c r="A106" s="4" t="s">
        <v>119</v>
      </c>
      <c r="B106" s="4" t="s">
        <v>106</v>
      </c>
      <c r="C106" s="4" t="s">
        <v>32</v>
      </c>
      <c r="D106" s="4" t="s">
        <v>40</v>
      </c>
      <c r="E106" s="4">
        <v>65</v>
      </c>
      <c r="F106" s="5">
        <f>INDEX(Справочники!$E$5:$E$16,MATCH(D106,Справочники!$A$5:$A$16,0))</f>
        <v>379</v>
      </c>
      <c r="G106" s="5">
        <f t="shared" si="3"/>
        <v>24635</v>
      </c>
    </row>
    <row r="107" spans="1:7" x14ac:dyDescent="0.25">
      <c r="A107" s="4" t="s">
        <v>114</v>
      </c>
      <c r="B107" s="4" t="s">
        <v>106</v>
      </c>
      <c r="C107" s="4" t="s">
        <v>32</v>
      </c>
      <c r="D107" s="4" t="s">
        <v>30</v>
      </c>
      <c r="E107" s="4">
        <v>844</v>
      </c>
      <c r="F107" s="5">
        <f>INDEX(Справочники!$E$5:$E$16,MATCH(D107,Справочники!$A$5:$A$16,0))</f>
        <v>129</v>
      </c>
      <c r="G107" s="5">
        <f t="shared" si="3"/>
        <v>108876</v>
      </c>
    </row>
    <row r="108" spans="1:7" x14ac:dyDescent="0.25">
      <c r="A108" s="4" t="s">
        <v>121</v>
      </c>
      <c r="B108" s="4" t="s">
        <v>106</v>
      </c>
      <c r="C108" s="4" t="s">
        <v>32</v>
      </c>
      <c r="D108" s="4" t="s">
        <v>21</v>
      </c>
      <c r="E108" s="4">
        <v>917</v>
      </c>
      <c r="F108" s="5">
        <f>INDEX(Справочники!$E$5:$E$16,MATCH(D108,Справочники!$A$5:$A$16,0))</f>
        <v>89</v>
      </c>
      <c r="G108" s="5">
        <f t="shared" si="3"/>
        <v>81613</v>
      </c>
    </row>
    <row r="109" spans="1:7" x14ac:dyDescent="0.25">
      <c r="A109" s="4" t="s">
        <v>122</v>
      </c>
      <c r="B109" s="4" t="s">
        <v>106</v>
      </c>
      <c r="C109" s="4" t="s">
        <v>36</v>
      </c>
      <c r="D109" s="4" t="s">
        <v>11</v>
      </c>
      <c r="E109" s="4">
        <v>588</v>
      </c>
      <c r="F109" s="5">
        <f>INDEX(Справочники!$E$5:$E$16,MATCH(D109,Справочники!$A$5:$A$16,0))</f>
        <v>112</v>
      </c>
      <c r="G109" s="5">
        <f t="shared" si="3"/>
        <v>65856</v>
      </c>
    </row>
    <row r="110" spans="1:7" x14ac:dyDescent="0.25">
      <c r="A110" s="4" t="s">
        <v>114</v>
      </c>
      <c r="B110" s="4" t="s">
        <v>106</v>
      </c>
      <c r="C110" s="4" t="s">
        <v>36</v>
      </c>
      <c r="D110" s="4" t="s">
        <v>25</v>
      </c>
      <c r="E110" s="4">
        <v>444</v>
      </c>
      <c r="F110" s="5">
        <f>INDEX(Справочники!$E$5:$E$16,MATCH(D110,Справочники!$A$5:$A$16,0))</f>
        <v>98</v>
      </c>
      <c r="G110" s="5">
        <f t="shared" si="3"/>
        <v>43512</v>
      </c>
    </row>
    <row r="111" spans="1:7" x14ac:dyDescent="0.25">
      <c r="A111" s="4" t="s">
        <v>123</v>
      </c>
      <c r="B111" s="4" t="s">
        <v>106</v>
      </c>
      <c r="C111" s="4" t="s">
        <v>36</v>
      </c>
      <c r="D111" s="4" t="s">
        <v>37</v>
      </c>
      <c r="E111" s="4">
        <v>623</v>
      </c>
      <c r="F111" s="5">
        <f>INDEX(Справочники!$E$5:$E$16,MATCH(D111,Справочники!$A$5:$A$16,0))</f>
        <v>299</v>
      </c>
      <c r="G111" s="5">
        <f t="shared" si="3"/>
        <v>186277</v>
      </c>
    </row>
    <row r="112" spans="1:7" x14ac:dyDescent="0.25">
      <c r="A112" s="4" t="s">
        <v>115</v>
      </c>
      <c r="B112" s="4" t="s">
        <v>106</v>
      </c>
      <c r="C112" s="4" t="s">
        <v>36</v>
      </c>
      <c r="D112" s="4" t="s">
        <v>40</v>
      </c>
      <c r="E112" s="4">
        <v>348</v>
      </c>
      <c r="F112" s="5">
        <f>INDEX(Справочники!$E$5:$E$16,MATCH(D112,Справочники!$A$5:$A$16,0))</f>
        <v>379</v>
      </c>
      <c r="G112" s="5">
        <f t="shared" si="3"/>
        <v>131892</v>
      </c>
    </row>
    <row r="113" spans="1:7" x14ac:dyDescent="0.25">
      <c r="A113" s="4" t="s">
        <v>118</v>
      </c>
      <c r="B113" s="4" t="s">
        <v>106</v>
      </c>
      <c r="C113" s="4" t="s">
        <v>36</v>
      </c>
      <c r="D113" s="4" t="s">
        <v>21</v>
      </c>
      <c r="E113" s="4">
        <v>731</v>
      </c>
      <c r="F113" s="5">
        <f>INDEX(Справочники!$E$5:$E$16,MATCH(D113,Справочники!$A$5:$A$16,0))</f>
        <v>89</v>
      </c>
      <c r="G113" s="5">
        <f t="shared" si="3"/>
        <v>65059</v>
      </c>
    </row>
    <row r="114" spans="1:7" x14ac:dyDescent="0.25">
      <c r="A114" s="4" t="s">
        <v>124</v>
      </c>
      <c r="B114" s="4" t="s">
        <v>106</v>
      </c>
      <c r="C114" s="4" t="s">
        <v>39</v>
      </c>
      <c r="D114" s="4" t="s">
        <v>11</v>
      </c>
      <c r="E114" s="4">
        <v>269</v>
      </c>
      <c r="F114" s="5">
        <f>INDEX(Справочники!$E$5:$E$16,MATCH(D114,Справочники!$A$5:$A$16,0))</f>
        <v>112</v>
      </c>
      <c r="G114" s="5">
        <f t="shared" si="3"/>
        <v>30128</v>
      </c>
    </row>
    <row r="115" spans="1:7" x14ac:dyDescent="0.25">
      <c r="A115" s="4" t="s">
        <v>108</v>
      </c>
      <c r="B115" s="4" t="s">
        <v>106</v>
      </c>
      <c r="C115" s="4" t="s">
        <v>39</v>
      </c>
      <c r="D115" s="4" t="s">
        <v>34</v>
      </c>
      <c r="E115" s="4">
        <v>609</v>
      </c>
      <c r="F115" s="5">
        <f>INDEX(Справочники!$E$5:$E$16,MATCH(D115,Справочники!$A$5:$A$16,0))</f>
        <v>138</v>
      </c>
      <c r="G115" s="5">
        <f t="shared" si="3"/>
        <v>84042</v>
      </c>
    </row>
    <row r="116" spans="1:7" x14ac:dyDescent="0.25">
      <c r="A116" s="4" t="s">
        <v>116</v>
      </c>
      <c r="B116" s="4" t="s">
        <v>106</v>
      </c>
      <c r="C116" s="4" t="s">
        <v>39</v>
      </c>
      <c r="D116" s="4" t="s">
        <v>44</v>
      </c>
      <c r="E116" s="4">
        <v>685</v>
      </c>
      <c r="F116" s="5">
        <f>INDEX(Справочники!$E$5:$E$16,MATCH(D116,Справочники!$A$5:$A$16,0))</f>
        <v>215</v>
      </c>
      <c r="G116" s="5">
        <f t="shared" si="3"/>
        <v>147275</v>
      </c>
    </row>
    <row r="117" spans="1:7" x14ac:dyDescent="0.25">
      <c r="A117" s="4" t="s">
        <v>119</v>
      </c>
      <c r="B117" s="4" t="s">
        <v>106</v>
      </c>
      <c r="C117" s="4" t="s">
        <v>39</v>
      </c>
      <c r="D117" s="4" t="s">
        <v>40</v>
      </c>
      <c r="E117" s="4">
        <v>77</v>
      </c>
      <c r="F117" s="5">
        <f>INDEX(Справочники!$E$5:$E$16,MATCH(D117,Справочники!$A$5:$A$16,0))</f>
        <v>379</v>
      </c>
      <c r="G117" s="5">
        <f t="shared" si="3"/>
        <v>29183</v>
      </c>
    </row>
    <row r="118" spans="1:7" x14ac:dyDescent="0.25">
      <c r="A118" s="4" t="s">
        <v>110</v>
      </c>
      <c r="B118" s="4" t="s">
        <v>106</v>
      </c>
      <c r="C118" s="4" t="s">
        <v>39</v>
      </c>
      <c r="D118" s="4" t="s">
        <v>25</v>
      </c>
      <c r="E118" s="4">
        <v>68</v>
      </c>
      <c r="F118" s="5">
        <f>INDEX(Справочники!$E$5:$E$16,MATCH(D118,Справочники!$A$5:$A$16,0))</f>
        <v>98</v>
      </c>
      <c r="G118" s="5">
        <f t="shared" si="3"/>
        <v>6664</v>
      </c>
    </row>
    <row r="119" spans="1:7" x14ac:dyDescent="0.25">
      <c r="A119" s="4" t="s">
        <v>116</v>
      </c>
      <c r="B119" s="4" t="s">
        <v>106</v>
      </c>
      <c r="C119" s="4" t="s">
        <v>43</v>
      </c>
      <c r="D119" s="4" t="s">
        <v>37</v>
      </c>
      <c r="E119" s="4">
        <v>658</v>
      </c>
      <c r="F119" s="5">
        <f>INDEX(Справочники!$E$5:$E$16,MATCH(D119,Справочники!$A$5:$A$16,0))</f>
        <v>299</v>
      </c>
      <c r="G119" s="5">
        <f t="shared" si="3"/>
        <v>196742</v>
      </c>
    </row>
    <row r="120" spans="1:7" x14ac:dyDescent="0.25">
      <c r="A120" s="4" t="s">
        <v>125</v>
      </c>
      <c r="B120" s="4" t="s">
        <v>106</v>
      </c>
      <c r="C120" s="4" t="s">
        <v>43</v>
      </c>
      <c r="D120" s="4" t="s">
        <v>17</v>
      </c>
      <c r="E120" s="4">
        <v>720</v>
      </c>
      <c r="F120" s="5">
        <f>INDEX(Справочники!$E$5:$E$16,MATCH(D120,Справочники!$A$5:$A$16,0))</f>
        <v>139</v>
      </c>
      <c r="G120" s="5">
        <f t="shared" si="3"/>
        <v>100080</v>
      </c>
    </row>
    <row r="121" spans="1:7" x14ac:dyDescent="0.25">
      <c r="A121" s="4" t="s">
        <v>125</v>
      </c>
      <c r="B121" s="4" t="s">
        <v>106</v>
      </c>
      <c r="C121" s="4" t="s">
        <v>43</v>
      </c>
      <c r="D121" s="4" t="s">
        <v>21</v>
      </c>
      <c r="E121" s="4">
        <v>918</v>
      </c>
      <c r="F121" s="5">
        <f>INDEX(Справочники!$E$5:$E$16,MATCH(D121,Справочники!$A$5:$A$16,0))</f>
        <v>89</v>
      </c>
      <c r="G121" s="5">
        <f t="shared" si="3"/>
        <v>81702</v>
      </c>
    </row>
    <row r="122" spans="1:7" x14ac:dyDescent="0.25">
      <c r="A122" s="4" t="s">
        <v>126</v>
      </c>
      <c r="B122" s="4" t="s">
        <v>106</v>
      </c>
      <c r="C122" s="4" t="s">
        <v>43</v>
      </c>
      <c r="D122" s="4" t="s">
        <v>25</v>
      </c>
      <c r="E122" s="4">
        <v>814</v>
      </c>
      <c r="F122" s="5">
        <f>INDEX(Справочники!$E$5:$E$16,MATCH(D122,Справочники!$A$5:$A$16,0))</f>
        <v>98</v>
      </c>
      <c r="G122" s="5">
        <f t="shared" si="3"/>
        <v>79772</v>
      </c>
    </row>
    <row r="123" spans="1:7" x14ac:dyDescent="0.25">
      <c r="A123" s="4" t="s">
        <v>108</v>
      </c>
      <c r="B123" s="4" t="s">
        <v>106</v>
      </c>
      <c r="C123" s="4" t="s">
        <v>43</v>
      </c>
      <c r="D123" s="4" t="s">
        <v>30</v>
      </c>
      <c r="E123" s="4">
        <v>704</v>
      </c>
      <c r="F123" s="5">
        <f>INDEX(Справочники!$E$5:$E$16,MATCH(D123,Справочники!$A$5:$A$16,0))</f>
        <v>129</v>
      </c>
      <c r="G123" s="5">
        <f t="shared" si="3"/>
        <v>90816</v>
      </c>
    </row>
    <row r="125" spans="1:7" x14ac:dyDescent="0.25">
      <c r="D125" s="2" t="s">
        <v>127</v>
      </c>
      <c r="G125" s="8">
        <f>SUM(G4:G123)</f>
        <v>10164003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workbookViewId="0"/>
  </sheetViews>
  <sheetFormatPr defaultColWidth="8.7109375" defaultRowHeight="15" x14ac:dyDescent="0.25"/>
  <cols>
    <col min="1" max="1" width="24" customWidth="1"/>
    <col min="2" max="4" width="15" customWidth="1"/>
    <col min="5" max="5" width="16" customWidth="1"/>
  </cols>
  <sheetData>
    <row r="1" spans="1:5" ht="18" x14ac:dyDescent="0.25">
      <c r="A1" s="1" t="s">
        <v>128</v>
      </c>
    </row>
    <row r="2" spans="1:5" x14ac:dyDescent="0.25">
      <c r="A2" s="7" t="s">
        <v>129</v>
      </c>
    </row>
    <row r="4" spans="1:5" x14ac:dyDescent="0.25">
      <c r="A4" s="3" t="s">
        <v>8</v>
      </c>
      <c r="B4" s="3" t="s">
        <v>63</v>
      </c>
      <c r="C4" s="3" t="s">
        <v>84</v>
      </c>
      <c r="D4" s="3" t="s">
        <v>106</v>
      </c>
      <c r="E4" s="3" t="s">
        <v>130</v>
      </c>
    </row>
    <row r="5" spans="1:5" x14ac:dyDescent="0.25">
      <c r="A5" s="4" t="s">
        <v>14</v>
      </c>
      <c r="B5" s="5">
        <f>SUMIFS(Продажи!$G$4:$G$123,Продажи!$C$4:$C$123,$A5,Продажи!$B$4:$B$123,B$4)</f>
        <v>600218</v>
      </c>
      <c r="C5" s="5">
        <f>SUMIFS(Продажи!$G$4:$G$123,Продажи!$C$4:$C$123,$A5,Продажи!$B$4:$B$123,C$4)</f>
        <v>368902</v>
      </c>
      <c r="D5" s="5">
        <f>SUMIFS(Продажи!$G$4:$G$123,Продажи!$C$4:$C$123,$A5,Продажи!$B$4:$B$123,D$4)</f>
        <v>590306</v>
      </c>
      <c r="E5" s="9">
        <f t="shared" ref="E5:E12" si="0">SUM(B5:D5)</f>
        <v>1559426</v>
      </c>
    </row>
    <row r="6" spans="1:5" x14ac:dyDescent="0.25">
      <c r="A6" s="4" t="s">
        <v>19</v>
      </c>
      <c r="B6" s="5">
        <f>SUMIFS(Продажи!$G$4:$G$123,Продажи!$C$4:$C$123,$A6,Продажи!$B$4:$B$123,B$4)</f>
        <v>499349</v>
      </c>
      <c r="C6" s="5">
        <f>SUMIFS(Продажи!$G$4:$G$123,Продажи!$C$4:$C$123,$A6,Продажи!$B$4:$B$123,C$4)</f>
        <v>576307</v>
      </c>
      <c r="D6" s="5">
        <f>SUMIFS(Продажи!$G$4:$G$123,Продажи!$C$4:$C$123,$A6,Продажи!$B$4:$B$123,D$4)</f>
        <v>274326</v>
      </c>
      <c r="E6" s="9">
        <f t="shared" si="0"/>
        <v>1349982</v>
      </c>
    </row>
    <row r="7" spans="1:5" x14ac:dyDescent="0.25">
      <c r="A7" s="4" t="s">
        <v>23</v>
      </c>
      <c r="B7" s="5">
        <f>SUMIFS(Продажи!$G$4:$G$123,Продажи!$C$4:$C$123,$A7,Продажи!$B$4:$B$123,B$4)</f>
        <v>467389</v>
      </c>
      <c r="C7" s="5">
        <f>SUMIFS(Продажи!$G$4:$G$123,Продажи!$C$4:$C$123,$A7,Продажи!$B$4:$B$123,C$4)</f>
        <v>348699</v>
      </c>
      <c r="D7" s="5">
        <f>SUMIFS(Продажи!$G$4:$G$123,Продажи!$C$4:$C$123,$A7,Продажи!$B$4:$B$123,D$4)</f>
        <v>358809</v>
      </c>
      <c r="E7" s="9">
        <f t="shared" si="0"/>
        <v>1174897</v>
      </c>
    </row>
    <row r="8" spans="1:5" x14ac:dyDescent="0.25">
      <c r="A8" s="4" t="s">
        <v>28</v>
      </c>
      <c r="B8" s="5">
        <f>SUMIFS(Продажи!$G$4:$G$123,Продажи!$C$4:$C$123,$A8,Продажи!$B$4:$B$123,B$4)</f>
        <v>329681</v>
      </c>
      <c r="C8" s="5">
        <f>SUMIFS(Продажи!$G$4:$G$123,Продажи!$C$4:$C$123,$A8,Продажи!$B$4:$B$123,C$4)</f>
        <v>509851</v>
      </c>
      <c r="D8" s="5">
        <f>SUMIFS(Продажи!$G$4:$G$123,Продажи!$C$4:$C$123,$A8,Продажи!$B$4:$B$123,D$4)</f>
        <v>523179</v>
      </c>
      <c r="E8" s="9">
        <f t="shared" si="0"/>
        <v>1362711</v>
      </c>
    </row>
    <row r="9" spans="1:5" x14ac:dyDescent="0.25">
      <c r="A9" s="4" t="s">
        <v>32</v>
      </c>
      <c r="B9" s="5">
        <f>SUMIFS(Продажи!$G$4:$G$123,Продажи!$C$4:$C$123,$A9,Продажи!$B$4:$B$123,B$4)</f>
        <v>536366</v>
      </c>
      <c r="C9" s="5">
        <f>SUMIFS(Продажи!$G$4:$G$123,Продажи!$C$4:$C$123,$A9,Продажи!$B$4:$B$123,C$4)</f>
        <v>319917</v>
      </c>
      <c r="D9" s="5">
        <f>SUMIFS(Продажи!$G$4:$G$123,Продажи!$C$4:$C$123,$A9,Продажи!$B$4:$B$123,D$4)</f>
        <v>456306</v>
      </c>
      <c r="E9" s="9">
        <f t="shared" si="0"/>
        <v>1312589</v>
      </c>
    </row>
    <row r="10" spans="1:5" x14ac:dyDescent="0.25">
      <c r="A10" s="4" t="s">
        <v>36</v>
      </c>
      <c r="B10" s="5">
        <f>SUMIFS(Продажи!$G$4:$G$123,Продажи!$C$4:$C$123,$A10,Продажи!$B$4:$B$123,B$4)</f>
        <v>228501</v>
      </c>
      <c r="C10" s="5">
        <f>SUMIFS(Продажи!$G$4:$G$123,Продажи!$C$4:$C$123,$A10,Продажи!$B$4:$B$123,C$4)</f>
        <v>380383</v>
      </c>
      <c r="D10" s="5">
        <f>SUMIFS(Продажи!$G$4:$G$123,Продажи!$C$4:$C$123,$A10,Продажи!$B$4:$B$123,D$4)</f>
        <v>492596</v>
      </c>
      <c r="E10" s="9">
        <f t="shared" si="0"/>
        <v>1101480</v>
      </c>
    </row>
    <row r="11" spans="1:5" x14ac:dyDescent="0.25">
      <c r="A11" s="4" t="s">
        <v>39</v>
      </c>
      <c r="B11" s="5">
        <f>SUMIFS(Продажи!$G$4:$G$123,Продажи!$C$4:$C$123,$A11,Продажи!$B$4:$B$123,B$4)</f>
        <v>244116</v>
      </c>
      <c r="C11" s="5">
        <f>SUMIFS(Продажи!$G$4:$G$123,Продажи!$C$4:$C$123,$A11,Продажи!$B$4:$B$123,C$4)</f>
        <v>488124</v>
      </c>
      <c r="D11" s="5">
        <f>SUMIFS(Продажи!$G$4:$G$123,Продажи!$C$4:$C$123,$A11,Продажи!$B$4:$B$123,D$4)</f>
        <v>297292</v>
      </c>
      <c r="E11" s="9">
        <f t="shared" si="0"/>
        <v>1029532</v>
      </c>
    </row>
    <row r="12" spans="1:5" x14ac:dyDescent="0.25">
      <c r="A12" s="4" t="s">
        <v>43</v>
      </c>
      <c r="B12" s="5">
        <f>SUMIFS(Продажи!$G$4:$G$123,Продажи!$C$4:$C$123,$A12,Продажи!$B$4:$B$123,B$4)</f>
        <v>399155</v>
      </c>
      <c r="C12" s="5">
        <f>SUMIFS(Продажи!$G$4:$G$123,Продажи!$C$4:$C$123,$A12,Продажи!$B$4:$B$123,C$4)</f>
        <v>325119</v>
      </c>
      <c r="D12" s="5">
        <f>SUMIFS(Продажи!$G$4:$G$123,Продажи!$C$4:$C$123,$A12,Продажи!$B$4:$B$123,D$4)</f>
        <v>549112</v>
      </c>
      <c r="E12" s="9">
        <f t="shared" si="0"/>
        <v>1273386</v>
      </c>
    </row>
    <row r="13" spans="1:5" x14ac:dyDescent="0.25">
      <c r="A13" s="10" t="s">
        <v>127</v>
      </c>
      <c r="B13" s="11">
        <f>SUM(B5:B12)</f>
        <v>3304775</v>
      </c>
      <c r="C13" s="11">
        <f>SUM(C5:C12)</f>
        <v>3317302</v>
      </c>
      <c r="D13" s="11">
        <f>SUM(D5:D12)</f>
        <v>3541926</v>
      </c>
      <c r="E13" s="11">
        <f>SUM(E5:E12)</f>
        <v>10164003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showGridLines="0" workbookViewId="0"/>
  </sheetViews>
  <sheetFormatPr defaultColWidth="8.7109375" defaultRowHeight="15" x14ac:dyDescent="0.25"/>
  <cols>
    <col min="1" max="1" width="5" customWidth="1"/>
    <col min="2" max="2" width="62" customWidth="1"/>
    <col min="3" max="4" width="20" customWidth="1"/>
    <col min="5" max="5" width="16" customWidth="1"/>
    <col min="6" max="6" width="3" customWidth="1"/>
    <col min="7" max="7" width="26" customWidth="1"/>
    <col min="8" max="8" width="22" customWidth="1"/>
  </cols>
  <sheetData>
    <row r="1" spans="1:8" ht="18" x14ac:dyDescent="0.25">
      <c r="A1" s="1" t="s">
        <v>131</v>
      </c>
    </row>
    <row r="2" spans="1:8" x14ac:dyDescent="0.25">
      <c r="A2" s="7" t="s">
        <v>132</v>
      </c>
    </row>
    <row r="4" spans="1:8" ht="30" customHeight="1" x14ac:dyDescent="0.25">
      <c r="A4" s="3" t="s">
        <v>133</v>
      </c>
      <c r="B4" s="3" t="s">
        <v>134</v>
      </c>
      <c r="C4" s="3" t="s">
        <v>135</v>
      </c>
      <c r="D4" s="3" t="s">
        <v>136</v>
      </c>
      <c r="E4" s="3" t="s">
        <v>137</v>
      </c>
      <c r="G4" s="2" t="s">
        <v>138</v>
      </c>
    </row>
    <row r="5" spans="1:8" ht="33.75" customHeight="1" x14ac:dyDescent="0.25">
      <c r="A5" s="12" t="s">
        <v>139</v>
      </c>
      <c r="B5" s="13" t="s">
        <v>140</v>
      </c>
      <c r="C5" s="14"/>
      <c r="D5" s="15" t="str">
        <f>INDEX(Справочники!$B$5:$B$16,MATCH($H$5,Справочники!$A$5:$A$16,0))</f>
        <v>Сыр полутвердый, 250 г</v>
      </c>
      <c r="E5" s="12" t="str">
        <f>IF(EXACT(C5,D5),"ОК","—")</f>
        <v>—</v>
      </c>
      <c r="G5" s="16" t="s">
        <v>141</v>
      </c>
      <c r="H5" s="17" t="s">
        <v>37</v>
      </c>
    </row>
    <row r="6" spans="1:8" ht="33.75" customHeight="1" x14ac:dyDescent="0.25">
      <c r="A6" s="12" t="s">
        <v>142</v>
      </c>
      <c r="B6" s="13" t="s">
        <v>143</v>
      </c>
      <c r="C6" s="14"/>
      <c r="D6" s="15" t="str">
        <f>IFERROR(INDEX(Справочники!$B$5:$B$16,MATCH($H$6,Справочники!$A$5:$A$16,0)),"не найден")</f>
        <v>не найден</v>
      </c>
      <c r="E6" s="12" t="str">
        <f>IF(EXACT(C6,D6),"ОК","—")</f>
        <v>—</v>
      </c>
      <c r="G6" s="16" t="s">
        <v>144</v>
      </c>
      <c r="H6" s="17" t="s">
        <v>145</v>
      </c>
    </row>
    <row r="7" spans="1:8" ht="33.75" customHeight="1" x14ac:dyDescent="0.25">
      <c r="A7" s="12" t="s">
        <v>146</v>
      </c>
      <c r="B7" s="13" t="s">
        <v>147</v>
      </c>
      <c r="C7" s="18"/>
      <c r="D7" s="19">
        <f>INDEX(Матрица!$B$5:$D$12,MATCH($H$7,Матрица!$A$5:$A$12,0),MATCH($H$8,Матрица!$B$4:$D$4,0))</f>
        <v>509851</v>
      </c>
      <c r="E7" s="12" t="str">
        <f>IF(N(C7)=0,"—",IF(ROUND(N(C7)-D7,2)=0,"ОК","РАСХОЖДЕНИЕ"))</f>
        <v>—</v>
      </c>
      <c r="G7" s="16" t="s">
        <v>148</v>
      </c>
      <c r="H7" s="17" t="s">
        <v>28</v>
      </c>
    </row>
    <row r="8" spans="1:8" ht="33.75" customHeight="1" x14ac:dyDescent="0.25">
      <c r="A8" s="12" t="s">
        <v>149</v>
      </c>
      <c r="B8" s="13" t="s">
        <v>150</v>
      </c>
      <c r="C8" s="20"/>
      <c r="D8" s="21">
        <f>INDEX(Справочники!$B$22:$B$26,MATCH($H$9,Справочники!$A$22:$A$26,1))</f>
        <v>0.04</v>
      </c>
      <c r="E8" s="12" t="str">
        <f>IF(N(C8)=0,"—",IF(ROUND(N(C8)-D8,2)=0,"ОК","РАСХОЖДЕНИЕ"))</f>
        <v>—</v>
      </c>
      <c r="G8" s="16" t="s">
        <v>151</v>
      </c>
      <c r="H8" s="17" t="s">
        <v>84</v>
      </c>
    </row>
    <row r="9" spans="1:8" ht="33.75" customHeight="1" x14ac:dyDescent="0.25">
      <c r="A9" s="12" t="s">
        <v>152</v>
      </c>
      <c r="B9" s="13" t="s">
        <v>153</v>
      </c>
      <c r="C9" s="14"/>
      <c r="D9" s="15" t="str">
        <f>INDEX(Справочники!$C$5:$C$16,MATCH(MAX(Справочники!$E$5:$E$16),Справочники!$E$5:$E$16,0))</f>
        <v>Напитки</v>
      </c>
      <c r="E9" s="12" t="str">
        <f>IF(EXACT(C9,D9),"ОК","—")</f>
        <v>—</v>
      </c>
      <c r="G9" s="16" t="s">
        <v>154</v>
      </c>
      <c r="H9" s="18">
        <v>2450000</v>
      </c>
    </row>
    <row r="10" spans="1:8" ht="33.75" customHeight="1" x14ac:dyDescent="0.25">
      <c r="A10" s="12" t="s">
        <v>155</v>
      </c>
      <c r="B10" s="13" t="s">
        <v>156</v>
      </c>
      <c r="C10" s="18"/>
      <c r="D10" s="19">
        <f>SUMPRODUCT((Продажи!$C$4:$C$123=$H$7)*(INDEX(Справочники!$C$5:$C$16,MATCH(Продажи!$D$4:$D$123,Справочники!$A$5:$A$16,0))=$H$10)*Продажи!$G$4:$G$123)</f>
        <v>0</v>
      </c>
      <c r="E10" s="12" t="str">
        <f t="shared" ref="E10:E16" si="0">IF(N(C10)=0,"—",IF(ROUND(N(C10)-D10,2)=0,"ОК","РАСХОЖДЕНИЕ"))</f>
        <v>—</v>
      </c>
      <c r="G10" s="16" t="s">
        <v>157</v>
      </c>
      <c r="H10" s="17" t="s">
        <v>27</v>
      </c>
    </row>
    <row r="11" spans="1:8" ht="33.75" customHeight="1" x14ac:dyDescent="0.25">
      <c r="A11" s="12" t="s">
        <v>158</v>
      </c>
      <c r="B11" s="13" t="s">
        <v>159</v>
      </c>
      <c r="C11" s="22"/>
      <c r="D11" s="23">
        <f>SUMPRODUCT(Продажи!$E$4:$E$123,Продажи!$F$4:$F$123)/SUM(Продажи!$E$4:$E$123)</f>
        <v>165.44050719447881</v>
      </c>
      <c r="E11" s="12" t="str">
        <f t="shared" si="0"/>
        <v>—</v>
      </c>
      <c r="G11" s="7" t="s">
        <v>160</v>
      </c>
    </row>
    <row r="12" spans="1:8" ht="33.75" customHeight="1" x14ac:dyDescent="0.25">
      <c r="A12" s="12" t="s">
        <v>161</v>
      </c>
      <c r="B12" s="13" t="s">
        <v>162</v>
      </c>
      <c r="C12" s="24"/>
      <c r="D12" s="25">
        <f>SUMPRODUCT((Продажи!$E$4:$E$123&gt;500)*(Продажи!$B$4:$B$123="Март"))</f>
        <v>23</v>
      </c>
      <c r="E12" s="12" t="str">
        <f t="shared" si="0"/>
        <v>—</v>
      </c>
    </row>
    <row r="13" spans="1:8" ht="33.75" customHeight="1" x14ac:dyDescent="0.25">
      <c r="A13" s="12" t="s">
        <v>163</v>
      </c>
      <c r="B13" s="13" t="s">
        <v>164</v>
      </c>
      <c r="C13" s="24"/>
      <c r="D13" s="25">
        <f>SUMPRODUCT(1/COUNTIF(Справочники!$C$5:$C$16,Справочники!$C$5:$C$16))</f>
        <v>4</v>
      </c>
      <c r="E13" s="12" t="str">
        <f t="shared" si="0"/>
        <v>—</v>
      </c>
    </row>
    <row r="14" spans="1:8" ht="33.75" customHeight="1" x14ac:dyDescent="0.25">
      <c r="A14" s="12" t="s">
        <v>165</v>
      </c>
      <c r="B14" s="13" t="s">
        <v>166</v>
      </c>
      <c r="C14" s="24"/>
      <c r="D14" s="25">
        <f>SUMPRODUCT((Продажи!$C$4:$C$123=$H$7)*(Продажи!$G$4:$G$123&gt;100000))</f>
        <v>3</v>
      </c>
      <c r="E14" s="12" t="str">
        <f t="shared" si="0"/>
        <v>—</v>
      </c>
    </row>
    <row r="15" spans="1:8" ht="33.75" customHeight="1" x14ac:dyDescent="0.25">
      <c r="A15" s="12" t="s">
        <v>167</v>
      </c>
      <c r="B15" s="13" t="s">
        <v>168</v>
      </c>
      <c r="C15" s="22"/>
      <c r="D15" s="23">
        <f>SUMPRODUCT(Продажи!$E$4:$E$123,Продажи!$F$4:$F$123)/SUM(Продажи!$E$4:$E$123)</f>
        <v>165.44050719447881</v>
      </c>
      <c r="E15" s="12" t="str">
        <f t="shared" si="0"/>
        <v>—</v>
      </c>
    </row>
    <row r="16" spans="1:8" ht="33.75" customHeight="1" x14ac:dyDescent="0.25">
      <c r="A16" s="12" t="s">
        <v>169</v>
      </c>
      <c r="B16" s="13" t="s">
        <v>170</v>
      </c>
      <c r="C16" s="20"/>
      <c r="D16" s="21">
        <f>(INDEX(Справочники!$E$5:$E$16,MATCH($H$5,Справочники!$A$5:$A$16,0))-INDEX(Справочники!$D$5:$D$16,MATCH($H$5,Справочники!$A$5:$A$16,0)))/INDEX(Справочники!$E$5:$E$16,MATCH($H$5,Справочники!$A$5:$A$16,0))</f>
        <v>0.2976588628762542</v>
      </c>
      <c r="E16" s="12" t="str">
        <f t="shared" si="0"/>
        <v>—</v>
      </c>
    </row>
    <row r="19" spans="2:2" x14ac:dyDescent="0.25">
      <c r="B19" s="7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3"/>
  <sheetViews>
    <sheetView showGridLines="0" tabSelected="1" workbookViewId="0"/>
  </sheetViews>
  <sheetFormatPr defaultColWidth="8.7109375" defaultRowHeight="15" x14ac:dyDescent="0.25"/>
  <cols>
    <col min="1" max="1" width="52" customWidth="1"/>
    <col min="2" max="2" width="22" customWidth="1"/>
    <col min="3" max="3" width="14" customWidth="1"/>
  </cols>
  <sheetData>
    <row r="1" spans="1:2" ht="18" x14ac:dyDescent="0.25">
      <c r="A1" s="1" t="s">
        <v>172</v>
      </c>
    </row>
    <row r="2" spans="1:2" x14ac:dyDescent="0.25">
      <c r="A2" s="7" t="s">
        <v>173</v>
      </c>
    </row>
    <row r="4" spans="1:2" x14ac:dyDescent="0.25">
      <c r="A4" s="2" t="s">
        <v>174</v>
      </c>
    </row>
    <row r="5" spans="1:2" x14ac:dyDescent="0.25">
      <c r="A5" s="16" t="s">
        <v>175</v>
      </c>
      <c r="B5" s="26">
        <f>B6*2</f>
        <v>200</v>
      </c>
    </row>
    <row r="6" spans="1:2" x14ac:dyDescent="0.25">
      <c r="A6" s="16" t="s">
        <v>176</v>
      </c>
      <c r="B6" s="17">
        <v>100</v>
      </c>
    </row>
    <row r="7" spans="1:2" x14ac:dyDescent="0.25">
      <c r="A7" s="16" t="s">
        <v>177</v>
      </c>
      <c r="B7" s="27">
        <f ca="1">RAND()</f>
        <v>0.77741265714608621</v>
      </c>
    </row>
    <row r="8" spans="1:2" x14ac:dyDescent="0.25">
      <c r="A8" s="7" t="s">
        <v>178</v>
      </c>
    </row>
    <row r="9" spans="1:2" x14ac:dyDescent="0.25">
      <c r="A9" s="7" t="s">
        <v>179</v>
      </c>
    </row>
    <row r="12" spans="1:2" x14ac:dyDescent="0.25">
      <c r="A12" s="2" t="s">
        <v>180</v>
      </c>
    </row>
    <row r="13" spans="1:2" x14ac:dyDescent="0.25">
      <c r="A13" s="16" t="s">
        <v>181</v>
      </c>
      <c r="B13" s="28">
        <f ca="1">SUM(OFFSET(Продажи!$G$4,0,0,120,1))</f>
        <v>10164003</v>
      </c>
    </row>
    <row r="14" spans="1:2" x14ac:dyDescent="0.25">
      <c r="A14" s="16" t="s">
        <v>182</v>
      </c>
      <c r="B14" s="28">
        <f>SUM(Продажи!$G$4:$G$123)</f>
        <v>10164003</v>
      </c>
    </row>
    <row r="15" spans="1:2" x14ac:dyDescent="0.25">
      <c r="A15" s="16" t="s">
        <v>183</v>
      </c>
      <c r="B15" s="28">
        <f ca="1">B13-B14</f>
        <v>0</v>
      </c>
    </row>
    <row r="16" spans="1:2" x14ac:dyDescent="0.25">
      <c r="A16" s="7" t="s">
        <v>184</v>
      </c>
    </row>
    <row r="19" spans="1:2" x14ac:dyDescent="0.25">
      <c r="A19" s="2" t="s">
        <v>185</v>
      </c>
    </row>
    <row r="20" spans="1:2" x14ac:dyDescent="0.25">
      <c r="A20" s="16" t="s">
        <v>186</v>
      </c>
      <c r="B20" s="17" t="s">
        <v>187</v>
      </c>
    </row>
    <row r="21" spans="1:2" x14ac:dyDescent="0.25">
      <c r="A21" s="16" t="s">
        <v>188</v>
      </c>
      <c r="B21" s="28">
        <f ca="1">INDIRECT(B20)</f>
        <v>10164003</v>
      </c>
    </row>
    <row r="22" spans="1:2" x14ac:dyDescent="0.25">
      <c r="A22" s="7" t="s">
        <v>189</v>
      </c>
    </row>
    <row r="25" spans="1:2" x14ac:dyDescent="0.25">
      <c r="A25" s="2" t="s">
        <v>190</v>
      </c>
    </row>
    <row r="26" spans="1:2" x14ac:dyDescent="0.25">
      <c r="A26" s="16" t="s">
        <v>191</v>
      </c>
    </row>
    <row r="27" spans="1:2" x14ac:dyDescent="0.25">
      <c r="A27" s="16" t="s">
        <v>192</v>
      </c>
    </row>
    <row r="28" spans="1:2" x14ac:dyDescent="0.25">
      <c r="A28" s="16" t="s">
        <v>193</v>
      </c>
    </row>
    <row r="29" spans="1:2" x14ac:dyDescent="0.25">
      <c r="A29" s="16" t="s">
        <v>194</v>
      </c>
    </row>
    <row r="30" spans="1:2" x14ac:dyDescent="0.25">
      <c r="A30" s="16" t="s">
        <v>195</v>
      </c>
    </row>
    <row r="31" spans="1:2" x14ac:dyDescent="0.25">
      <c r="A31" s="16" t="s">
        <v>196</v>
      </c>
    </row>
    <row r="33" spans="1:1" x14ac:dyDescent="0.25">
      <c r="A33" s="7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Справочники</vt:lpstr>
      <vt:lpstr>Продажи</vt:lpstr>
      <vt:lpstr>Матрица</vt:lpstr>
      <vt:lpstr>Задания</vt:lpstr>
      <vt:lpstr>Пересчет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Ekaterina Nikolaevna Grishchenkova</cp:lastModifiedBy>
  <dcterms:created xsi:type="dcterms:W3CDTF">2026-09-05T09:06:20Z</dcterms:created>
  <dcterms:modified xsi:type="dcterms:W3CDTF">2026-09-05T10:26:32Z</dcterms:modified>
</cp:coreProperties>
</file>