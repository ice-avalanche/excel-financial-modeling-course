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Модель" sheetId="1" state="visible" r:id="rId3"/>
    <sheet name="Критические значения" sheetId="2" state="visible" r:id="rId4"/>
    <sheet name="Задания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<sst xmlns="http://schemas.openxmlformats.org/spreadsheetml/2006/main" count="141" uniqueCount="121">
  <si>
    <t xml:space="preserve">ЗАНЯТИЕ 4.2 — МНОГОФАКТОРНАЯ ЧУВСТВИТЕЛЬНОСТЬ И КРИТИЧЕСКИЕ ЗНАЧЕНИЯ</t>
  </si>
  <si>
    <t xml:space="preserve">Модель совпадает по логике с занятием 4.1. Изменяемые предпосылки выделены желтым фоном и синим шрифтом. После каждого Goal Seek найденное значение необходимо записать на отдельный лист, затем восстановить базовую предпосылку.</t>
  </si>
  <si>
    <t xml:space="preserve">Базовые предпосылки</t>
  </si>
  <si>
    <t xml:space="preserve">Двухфакторная таблица: цена × переменные затраты</t>
  </si>
  <si>
    <t xml:space="preserve">Параметр</t>
  </si>
  <si>
    <t xml:space="preserve">Значение</t>
  </si>
  <si>
    <t xml:space="preserve">Единица</t>
  </si>
  <si>
    <t xml:space="preserve">Перем. затраты / Цена</t>
  </si>
  <si>
    <t xml:space="preserve">Объем продаж, год 1</t>
  </si>
  <si>
    <t xml:space="preserve">ед.</t>
  </si>
  <si>
    <t xml:space="preserve">Цена, год 1</t>
  </si>
  <si>
    <t xml:space="preserve">руб./ед.</t>
  </si>
  <si>
    <t xml:space="preserve">Рост объема</t>
  </si>
  <si>
    <t xml:space="preserve">%/год</t>
  </si>
  <si>
    <t xml:space="preserve">Рост цены</t>
  </si>
  <si>
    <t xml:space="preserve">Переменные затраты, год 1</t>
  </si>
  <si>
    <t xml:space="preserve">Рост переменных затрат</t>
  </si>
  <si>
    <t xml:space="preserve">Постоянные затраты, год 1</t>
  </si>
  <si>
    <t xml:space="preserve">руб.</t>
  </si>
  <si>
    <t xml:space="preserve">Практика: выделить J5:O10 → Данные → Анализ «что если» → Таблица данных. По строкам: Цена = $B$7. По столбцам: Переменные затраты = $B$10. Контроль: цена 1 200 / затраты 700 → NPV 39 602 574 руб.</t>
  </si>
  <si>
    <t xml:space="preserve">Рост постоянных затрат</t>
  </si>
  <si>
    <t xml:space="preserve">Налоговая ставка</t>
  </si>
  <si>
    <t xml:space="preserve">%</t>
  </si>
  <si>
    <t xml:space="preserve">Первоначальный CAPEX</t>
  </si>
  <si>
    <t xml:space="preserve">Ставка дисконтирования</t>
  </si>
  <si>
    <t xml:space="preserve">Домашнее задание: цена × объем</t>
  </si>
  <si>
    <t xml:space="preserve">Контроль результата и критерий</t>
  </si>
  <si>
    <t xml:space="preserve">Объем / Цена</t>
  </si>
  <si>
    <t xml:space="preserve">NPV проекта</t>
  </si>
  <si>
    <t xml:space="preserve">Учебный порог приемлемости</t>
  </si>
  <si>
    <t xml:space="preserve">Запас NPV над порогом</t>
  </si>
  <si>
    <t xml:space="preserve">Пятилетний расчет</t>
  </si>
  <si>
    <t xml:space="preserve">Показатель</t>
  </si>
  <si>
    <t xml:space="preserve">Год 0</t>
  </si>
  <si>
    <t xml:space="preserve">Год 1</t>
  </si>
  <si>
    <t xml:space="preserve">Год 2</t>
  </si>
  <si>
    <t xml:space="preserve">Год 3</t>
  </si>
  <si>
    <t xml:space="preserve">Год 4</t>
  </si>
  <si>
    <t xml:space="preserve">Год 5</t>
  </si>
  <si>
    <t xml:space="preserve">Объем, ед.</t>
  </si>
  <si>
    <t xml:space="preserve">Для второй матрицы: цена расположена по строке → ячейка подстановки по строкам $B$7; объем расположен по столбцу → ячейка подстановки по столбцам $B$6.</t>
  </si>
  <si>
    <t xml:space="preserve">Цена, руб./ед.</t>
  </si>
  <si>
    <t xml:space="preserve">Выручка, руб.</t>
  </si>
  <si>
    <t xml:space="preserve">Переменные затраты, руб./ед.</t>
  </si>
  <si>
    <t xml:space="preserve">Переменные затраты, руб.</t>
  </si>
  <si>
    <t xml:space="preserve">Постоянные затраты, руб.</t>
  </si>
  <si>
    <t xml:space="preserve">Операционная прибыль, руб.</t>
  </si>
  <si>
    <t xml:space="preserve">Налог, руб.</t>
  </si>
  <si>
    <t xml:space="preserve">FCF, руб.</t>
  </si>
  <si>
    <t xml:space="preserve">Коэффициент дисконтирования</t>
  </si>
  <si>
    <t xml:space="preserve">PV FCF, руб.</t>
  </si>
  <si>
    <t xml:space="preserve">КРИТИЧЕСКИЕ ЗНАЧЕНИЯ И ЗАПАС ДО ГРАНИЦЫ</t>
  </si>
  <si>
    <t xml:space="preserve">После Goal Seek внесите найденное значение в желтую ячейку столбца E, затем восстановите базовую предпосылку на листе «Модель». Формулы запаса обновятся автоматически.</t>
  </si>
  <si>
    <t xml:space="preserve">Фактор</t>
  </si>
  <si>
    <t xml:space="preserve">Направление ухудшения</t>
  </si>
  <si>
    <t xml:space="preserve">База</t>
  </si>
  <si>
    <t xml:space="preserve">Критерий</t>
  </si>
  <si>
    <t xml:space="preserve">Критическое значение</t>
  </si>
  <si>
    <t xml:space="preserve">Абсолютный запас</t>
  </si>
  <si>
    <t xml:space="preserve">Запас, % базы</t>
  </si>
  <si>
    <t xml:space="preserve">Комментарий</t>
  </si>
  <si>
    <t xml:space="preserve">Снижение</t>
  </si>
  <si>
    <t xml:space="preserve">NPV = 0</t>
  </si>
  <si>
    <t xml:space="preserve">Goal Seek: NPV → 0; изменять Модель!B7</t>
  </si>
  <si>
    <t xml:space="preserve">Рост</t>
  </si>
  <si>
    <t xml:space="preserve">Goal Seek: NPV → 0; изменять Модель!B10</t>
  </si>
  <si>
    <t xml:space="preserve">Goal Seek: NPV → 0; изменять Модель!B6</t>
  </si>
  <si>
    <t xml:space="preserve">Абсолютный запас читать как процентные пункты</t>
  </si>
  <si>
    <t xml:space="preserve">NPV = 20 млн</t>
  </si>
  <si>
    <t xml:space="preserve">Условный учебный порог приемлемости</t>
  </si>
  <si>
    <t xml:space="preserve">Порядок безопасной работы с Goal Seek</t>
  </si>
  <si>
    <t xml:space="preserve">Шаг</t>
  </si>
  <si>
    <t xml:space="preserve">Действие</t>
  </si>
  <si>
    <t xml:space="preserve">1</t>
  </si>
  <si>
    <t xml:space="preserve">Проверить базовые предпосылки и базовый NPV 39 602 574 руб.</t>
  </si>
  <si>
    <t xml:space="preserve">2</t>
  </si>
  <si>
    <t xml:space="preserve">Запустить Goal Seek: целевая ячейка — NPV; задать критерий; выбрать одну изменяемую предпосылку.</t>
  </si>
  <si>
    <t xml:space="preserve">3</t>
  </si>
  <si>
    <t xml:space="preserve">Проверить найденный результат и записать его в столбец E таблицы выше.</t>
  </si>
  <si>
    <t xml:space="preserve">4</t>
  </si>
  <si>
    <t xml:space="preserve">Вернуть изменяемую предпосылку к базовому значению.</t>
  </si>
  <si>
    <t xml:space="preserve">5</t>
  </si>
  <si>
    <t xml:space="preserve">Снова проверить NPV = 39 602 574 руб. Только после этого переходить к следующему фактору.</t>
  </si>
  <si>
    <t xml:space="preserve">ЗАДАНИЯ ЗАНЯТИЯ 4.2</t>
  </si>
  <si>
    <t xml:space="preserve">После каждого Goal Seek исходные значения на листе «Модель» необходимо восстановить. Лист «Преподавателю» перед передачей группе удаляется.</t>
  </si>
  <si>
    <t xml:space="preserve">№</t>
  </si>
  <si>
    <t xml:space="preserve">Задание</t>
  </si>
  <si>
    <t xml:space="preserve">Контроль</t>
  </si>
  <si>
    <t xml:space="preserve">Результат / вывод</t>
  </si>
  <si>
    <t xml:space="preserve">Статус</t>
  </si>
  <si>
    <t xml:space="preserve">Примечание</t>
  </si>
  <si>
    <t xml:space="preserve">Проверить базовую модель.</t>
  </si>
  <si>
    <t xml:space="preserve">NPV = 39 602 574 руб.; цена 1 200; затраты 700; объем 80 000</t>
  </si>
  <si>
    <t xml:space="preserve">Не начинать анализ на измененной базе.</t>
  </si>
  <si>
    <t xml:space="preserve">Построить двухфакторную таблицу «цена × переменные затраты» в J5:O10.</t>
  </si>
  <si>
    <t xml:space="preserve">По строкам → B7; по столбцам → B10</t>
  </si>
  <si>
    <t xml:space="preserve">Базовая точка 1 200 / 700 должна совпасть с NPV модели.</t>
  </si>
  <si>
    <t xml:space="preserve">Проверить три контрольные комбинации матрицы.</t>
  </si>
  <si>
    <t xml:space="preserve">1 000 / 700 ≈ -8,93 млн; 1 200 / 700 ≈ 39,60 млн; 1 400 / 800 ≈ 63,87 млн</t>
  </si>
  <si>
    <t xml:space="preserve">Проверить также направление изменения по строкам и столбцам.</t>
  </si>
  <si>
    <t xml:space="preserve">Применить условное форматирование: NPV &lt; 0; 0–20 млн; ≥20 млн.</t>
  </si>
  <si>
    <t xml:space="preserve">Три зоны: красная, желтая, зеленая</t>
  </si>
  <si>
    <t xml:space="preserve">Цвет не заменяет числовое значение.</t>
  </si>
  <si>
    <t xml:space="preserve">Goal Seek: найти цену при NPV = 0.</t>
  </si>
  <si>
    <t xml:space="preserve">≈ 1 036,79 руб./ед.</t>
  </si>
  <si>
    <t xml:space="preserve">Записать результат и вернуть цену 1 200.</t>
  </si>
  <si>
    <t xml:space="preserve">Goal Seek: найти цену при NPV = 20 млн.</t>
  </si>
  <si>
    <t xml:space="preserve">≈ 1 119,22 руб./ед.</t>
  </si>
  <si>
    <t xml:space="preserve">Учебный порог, а не универсальный норматив.</t>
  </si>
  <si>
    <t xml:space="preserve">Goal Seek: найти переменные затраты при NPV = 0.</t>
  </si>
  <si>
    <t xml:space="preserve">≈ 863,21 руб./ед.</t>
  </si>
  <si>
    <t xml:space="preserve">Записать результат и вернуть затраты 700.</t>
  </si>
  <si>
    <t xml:space="preserve">Рассчитать запас цены и переменных затрат до NPV = 0.</t>
  </si>
  <si>
    <t xml:space="preserve">Цена ≈ 13,60 % снижения; затраты ≈ 23,32 % роста</t>
  </si>
  <si>
    <t xml:space="preserve">Формулировать как расстояние до границы, не как вероятность.</t>
  </si>
  <si>
    <t xml:space="preserve">По желанию: найти критический объем и ставку дисконтирования.</t>
  </si>
  <si>
    <t xml:space="preserve">Объем ≈ 53 887 ед.; ставка ≈ 59,17 %</t>
  </si>
  <si>
    <t xml:space="preserve">Для ставки абсолютный запас выражать в процентных пунктах.</t>
  </si>
  <si>
    <t xml:space="preserve">Начать домашнюю матрицу «цена × объем» и проверить базовую точку.</t>
  </si>
  <si>
    <t xml:space="preserve">Цена 1 200 / объем 80 000 → 39 602 574 руб.</t>
  </si>
  <si>
    <t xml:space="preserve">Полное заполнение — домашнее задание.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</si>
</sst>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;[RED]\(#,##0\);\-"/>
    <numFmt numFmtId="166" formatCode="#,##0.00;[RED]\(#,##0.00\);\-"/>
    <numFmt numFmtId="167" formatCode="0.00%"/>
    <numFmt numFmtId="168" formatCode="0.0000"/>
  </numFmts>
  <fonts count="12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4"/>
      <color rgb="FFFFFFFF"/>
      <name val="Calibri"/>
      <family val="0"/>
      <charset val="1"/>
    </font>
    <font>
      <i val="true"/>
      <sz val="10"/>
      <name val="Calibri"/>
      <family val="0"/>
      <charset val="1"/>
    </font>
    <font>
      <b val="true"/>
      <sz val="11"/>
      <name val="Calibri"/>
      <family val="0"/>
      <charset val="1"/>
    </font>
    <font>
      <sz val="11"/>
      <color rgb="FF0000FF"/>
      <name val="Calibri"/>
      <family val="0"/>
      <charset val="1"/>
    </font>
    <font>
      <i val="true"/>
      <sz val="9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i val="true"/>
      <sz val="11"/>
      <name val="Calibri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2F2F2"/>
        <bgColor rgb="FFE2F0D9"/>
      </patternFill>
    </fill>
    <fill>
      <patternFill patternType="solid">
        <fgColor rgb="FFD9E2F3"/>
        <bgColor rgb="FFD9EAF7"/>
      </patternFill>
    </fill>
    <fill>
      <patternFill patternType="solid">
        <fgColor rgb="FFFFF2CC"/>
        <bgColor rgb="FFF2F2F2"/>
      </patternFill>
    </fill>
    <fill>
      <patternFill patternType="solid">
        <fgColor rgb="FFE2F0D9"/>
        <bgColor rgb="FFD9EAF7"/>
      </patternFill>
    </fill>
    <fill>
      <patternFill patternType="solid">
        <fgColor rgb="FFD9EAF7"/>
        <bgColor rgb="FFD9E2F3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3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20" applyFont="fals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4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4" borderId="0" xfId="2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7" fillId="4" borderId="0" xfId="2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6" fontId="7" fillId="4" borderId="0" xfId="2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8" fillId="5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6" fontId="7" fillId="4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4" fillId="0" borderId="0" xfId="20" applyFont="false" applyBorder="true" applyAlignment="true" applyProtection="false">
      <alignment horizontal="general" vertical="bottom" textRotation="0" wrapText="true" indent="0" shrinkToFit="false"/>
      <protection locked="true" hidden="false"/>
    </xf>
    <xf numFmtId="167" fontId="8" fillId="5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6" fontId="8" fillId="5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9" fillId="3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7" fillId="0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7" fillId="4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0" fillId="2" borderId="0" xfId="2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6" fontId="4" fillId="0" borderId="0" xfId="20" applyFont="fals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6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7" fillId="6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8" fontId="4" fillId="0" borderId="0" xfId="20" applyFont="fals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7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7" fillId="7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2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3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4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5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0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5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9EAF7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F0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6"/>
    <col collapsed="false" customWidth="true" hidden="false" outlineLevel="0" max="3" min="3" style="0" width="13"/>
    <col collapsed="false" customWidth="true" hidden="false" outlineLevel="0" max="7" min="4" style="0" width="14"/>
    <col collapsed="false" customWidth="true" hidden="false" outlineLevel="0" max="9" min="9" style="0" width="23"/>
    <col collapsed="false" customWidth="true" hidden="false" outlineLevel="0" max="15" min="10" style="0" width="14"/>
  </cols>
  <sheetData>
    <row r="1" customFormat="false" ht="16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customFormat="false" ht="15" hidden="false" customHeight="tru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customFormat="false" ht="15" hidden="false" customHeight="true" outlineLevel="0" collapsed="false">
      <c r="A4" s="4" t="s">
        <v>2</v>
      </c>
      <c r="B4" s="4"/>
      <c r="C4" s="4"/>
      <c r="D4" s="3"/>
      <c r="E4" s="3"/>
      <c r="F4" s="3"/>
      <c r="G4" s="3"/>
      <c r="H4" s="3"/>
      <c r="I4" s="4" t="s">
        <v>3</v>
      </c>
      <c r="J4" s="4"/>
      <c r="K4" s="4"/>
      <c r="L4" s="4"/>
      <c r="M4" s="4"/>
      <c r="N4" s="4"/>
      <c r="O4" s="4"/>
    </row>
    <row r="5" customFormat="false" ht="15" hidden="false" customHeight="true" outlineLevel="0" collapsed="false">
      <c r="A5" s="5" t="s">
        <v>4</v>
      </c>
      <c r="B5" s="5" t="s">
        <v>5</v>
      </c>
      <c r="C5" s="5" t="s">
        <v>6</v>
      </c>
      <c r="D5" s="3"/>
      <c r="E5" s="3"/>
      <c r="F5" s="3"/>
      <c r="G5" s="3"/>
      <c r="H5" s="3"/>
      <c r="I5" s="5" t="s">
        <v>7</v>
      </c>
      <c r="J5" s="6" t="n">
        <f aca="false">$B$19</f>
        <v>39602573.968576</v>
      </c>
      <c r="K5" s="7" t="n">
        <v>1000</v>
      </c>
      <c r="L5" s="7" t="n">
        <v>1100</v>
      </c>
      <c r="M5" s="7" t="n">
        <v>1200</v>
      </c>
      <c r="N5" s="7" t="n">
        <v>1300</v>
      </c>
      <c r="O5" s="7" t="n">
        <v>1400</v>
      </c>
    </row>
    <row r="6" customFormat="false" ht="15" hidden="false" customHeight="true" outlineLevel="0" collapsed="false">
      <c r="A6" s="3" t="s">
        <v>8</v>
      </c>
      <c r="B6" s="8" t="n">
        <v>80000</v>
      </c>
      <c r="C6" s="3" t="s">
        <v>9</v>
      </c>
      <c r="D6" s="3"/>
      <c r="E6" s="3"/>
      <c r="F6" s="3"/>
      <c r="G6" s="3"/>
      <c r="H6" s="3"/>
      <c r="I6" s="3"/>
      <c r="J6" s="9" t="n">
        <v>600</v>
      </c>
      <c r="K6" s="10"/>
      <c r="L6" s="10"/>
      <c r="M6" s="10"/>
      <c r="N6" s="10"/>
      <c r="O6" s="10"/>
    </row>
    <row r="7" customFormat="false" ht="15" hidden="false" customHeight="true" outlineLevel="0" collapsed="false">
      <c r="A7" s="3" t="s">
        <v>10</v>
      </c>
      <c r="B7" s="8" t="n">
        <v>1200</v>
      </c>
      <c r="C7" s="3" t="s">
        <v>11</v>
      </c>
      <c r="D7" s="3"/>
      <c r="E7" s="3"/>
      <c r="F7" s="3"/>
      <c r="G7" s="3"/>
      <c r="H7" s="3"/>
      <c r="I7" s="3"/>
      <c r="J7" s="9" t="n">
        <v>650</v>
      </c>
      <c r="K7" s="10"/>
      <c r="L7" s="10"/>
      <c r="M7" s="10"/>
      <c r="N7" s="10"/>
      <c r="O7" s="10"/>
    </row>
    <row r="8" customFormat="false" ht="15" hidden="false" customHeight="true" outlineLevel="0" collapsed="false">
      <c r="A8" s="3" t="s">
        <v>12</v>
      </c>
      <c r="B8" s="11" t="n">
        <v>0.04</v>
      </c>
      <c r="C8" s="3" t="s">
        <v>13</v>
      </c>
      <c r="D8" s="3"/>
      <c r="E8" s="3"/>
      <c r="F8" s="3"/>
      <c r="G8" s="3"/>
      <c r="H8" s="3"/>
      <c r="I8" s="3"/>
      <c r="J8" s="9" t="n">
        <v>700</v>
      </c>
      <c r="K8" s="10"/>
      <c r="L8" s="10"/>
      <c r="M8" s="10"/>
      <c r="N8" s="10"/>
      <c r="O8" s="10"/>
    </row>
    <row r="9" customFormat="false" ht="15" hidden="false" customHeight="true" outlineLevel="0" collapsed="false">
      <c r="A9" s="3" t="s">
        <v>14</v>
      </c>
      <c r="B9" s="11" t="n">
        <v>0.03</v>
      </c>
      <c r="C9" s="3" t="s">
        <v>13</v>
      </c>
      <c r="D9" s="3"/>
      <c r="E9" s="3"/>
      <c r="F9" s="3"/>
      <c r="G9" s="3"/>
      <c r="H9" s="3"/>
      <c r="I9" s="3"/>
      <c r="J9" s="9" t="n">
        <v>750</v>
      </c>
      <c r="K9" s="10"/>
      <c r="L9" s="10"/>
      <c r="M9" s="10"/>
      <c r="N9" s="10"/>
      <c r="O9" s="10"/>
    </row>
    <row r="10" customFormat="false" ht="15" hidden="false" customHeight="true" outlineLevel="0" collapsed="false">
      <c r="A10" s="3" t="s">
        <v>15</v>
      </c>
      <c r="B10" s="12" t="n">
        <v>700</v>
      </c>
      <c r="C10" s="3" t="s">
        <v>11</v>
      </c>
      <c r="D10" s="3"/>
      <c r="E10" s="3"/>
      <c r="F10" s="3"/>
      <c r="G10" s="3"/>
      <c r="H10" s="3"/>
      <c r="I10" s="3"/>
      <c r="J10" s="9" t="n">
        <v>800</v>
      </c>
      <c r="K10" s="10"/>
      <c r="L10" s="10"/>
      <c r="M10" s="10"/>
      <c r="N10" s="10"/>
      <c r="O10" s="10"/>
    </row>
    <row r="11" customFormat="false" ht="15" hidden="false" customHeight="true" outlineLevel="0" collapsed="false">
      <c r="A11" s="3" t="s">
        <v>16</v>
      </c>
      <c r="B11" s="11" t="n">
        <v>0.03</v>
      </c>
      <c r="C11" s="3" t="s">
        <v>13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customFormat="false" ht="15" hidden="false" customHeight="true" outlineLevel="0" collapsed="false">
      <c r="A12" s="3" t="s">
        <v>17</v>
      </c>
      <c r="B12" s="8" t="n">
        <v>18000000</v>
      </c>
      <c r="C12" s="3" t="s">
        <v>18</v>
      </c>
      <c r="D12" s="3"/>
      <c r="E12" s="3"/>
      <c r="F12" s="3"/>
      <c r="G12" s="3"/>
      <c r="H12" s="3"/>
      <c r="I12" s="13" t="s">
        <v>19</v>
      </c>
      <c r="J12" s="13"/>
      <c r="K12" s="13"/>
      <c r="L12" s="13"/>
      <c r="M12" s="13"/>
      <c r="N12" s="13"/>
      <c r="O12" s="13"/>
    </row>
    <row r="13" customFormat="false" ht="15" hidden="false" customHeight="true" outlineLevel="0" collapsed="false">
      <c r="A13" s="3" t="s">
        <v>20</v>
      </c>
      <c r="B13" s="11" t="n">
        <v>0.04</v>
      </c>
      <c r="C13" s="3" t="s">
        <v>13</v>
      </c>
      <c r="D13" s="3"/>
      <c r="E13" s="3"/>
      <c r="F13" s="3"/>
      <c r="G13" s="3"/>
      <c r="H13" s="3"/>
      <c r="I13" s="13"/>
      <c r="J13" s="13"/>
      <c r="K13" s="13"/>
      <c r="L13" s="13"/>
      <c r="M13" s="13"/>
      <c r="N13" s="13"/>
      <c r="O13" s="13"/>
    </row>
    <row r="14" customFormat="false" ht="15" hidden="false" customHeight="true" outlineLevel="0" collapsed="false">
      <c r="A14" s="3" t="s">
        <v>21</v>
      </c>
      <c r="B14" s="11" t="n">
        <v>0.2</v>
      </c>
      <c r="C14" s="3" t="s">
        <v>22</v>
      </c>
      <c r="D14" s="3"/>
      <c r="E14" s="3"/>
      <c r="F14" s="3"/>
      <c r="G14" s="3"/>
      <c r="H14" s="3"/>
      <c r="I14" s="13"/>
      <c r="J14" s="13"/>
      <c r="K14" s="13"/>
      <c r="L14" s="13"/>
      <c r="M14" s="13"/>
      <c r="N14" s="13"/>
      <c r="O14" s="13"/>
    </row>
    <row r="15" customFormat="false" ht="15" hidden="false" customHeight="true" outlineLevel="0" collapsed="false">
      <c r="A15" s="3" t="s">
        <v>23</v>
      </c>
      <c r="B15" s="8" t="n">
        <v>30000000</v>
      </c>
      <c r="C15" s="3" t="s">
        <v>18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customFormat="false" ht="15" hidden="false" customHeight="true" outlineLevel="0" collapsed="false">
      <c r="A16" s="3" t="s">
        <v>24</v>
      </c>
      <c r="B16" s="11" t="n">
        <v>0.15</v>
      </c>
      <c r="C16" s="3" t="s">
        <v>22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customFormat="false" ht="15" hidden="false" customHeight="true" outlineLevel="0" collapsed="false">
      <c r="A17" s="3"/>
      <c r="B17" s="3"/>
      <c r="C17" s="3"/>
      <c r="D17" s="3"/>
      <c r="E17" s="3"/>
      <c r="F17" s="3"/>
      <c r="G17" s="3"/>
      <c r="H17" s="3"/>
      <c r="I17" s="4" t="s">
        <v>25</v>
      </c>
      <c r="J17" s="4"/>
      <c r="K17" s="4"/>
      <c r="L17" s="4"/>
      <c r="M17" s="4"/>
      <c r="N17" s="4"/>
      <c r="O17" s="4"/>
    </row>
    <row r="18" customFormat="false" ht="15" hidden="false" customHeight="true" outlineLevel="0" collapsed="false">
      <c r="A18" s="4" t="s">
        <v>26</v>
      </c>
      <c r="B18" s="4"/>
      <c r="C18" s="4"/>
      <c r="D18" s="3"/>
      <c r="E18" s="3"/>
      <c r="F18" s="3"/>
      <c r="G18" s="3"/>
      <c r="H18" s="3"/>
      <c r="I18" s="5" t="s">
        <v>27</v>
      </c>
      <c r="J18" s="6" t="n">
        <f aca="false">$B$19</f>
        <v>39602573.968576</v>
      </c>
      <c r="K18" s="7" t="n">
        <v>1000</v>
      </c>
      <c r="L18" s="7" t="n">
        <v>1100</v>
      </c>
      <c r="M18" s="7" t="n">
        <v>1200</v>
      </c>
      <c r="N18" s="7" t="n">
        <v>1300</v>
      </c>
      <c r="O18" s="7" t="n">
        <v>1400</v>
      </c>
    </row>
    <row r="19" customFormat="false" ht="15" hidden="false" customHeight="true" outlineLevel="0" collapsed="false">
      <c r="A19" s="3" t="s">
        <v>28</v>
      </c>
      <c r="B19" s="14" t="n">
        <f aca="false">SUM(B35:G35)</f>
        <v>39602573.968576</v>
      </c>
      <c r="C19" s="3" t="s">
        <v>18</v>
      </c>
      <c r="D19" s="3"/>
      <c r="E19" s="3"/>
      <c r="F19" s="3"/>
      <c r="G19" s="3"/>
      <c r="H19" s="3"/>
      <c r="I19" s="3"/>
      <c r="J19" s="15" t="n">
        <v>50000</v>
      </c>
      <c r="K19" s="10"/>
      <c r="L19" s="10"/>
      <c r="M19" s="10"/>
      <c r="N19" s="10"/>
      <c r="O19" s="10"/>
    </row>
    <row r="20" customFormat="false" ht="15" hidden="false" customHeight="true" outlineLevel="0" collapsed="false">
      <c r="A20" s="3" t="s">
        <v>29</v>
      </c>
      <c r="B20" s="8" t="n">
        <v>20000000</v>
      </c>
      <c r="C20" s="3" t="s">
        <v>18</v>
      </c>
      <c r="D20" s="3"/>
      <c r="E20" s="3"/>
      <c r="F20" s="3"/>
      <c r="G20" s="3"/>
      <c r="H20" s="3"/>
      <c r="I20" s="3"/>
      <c r="J20" s="15" t="n">
        <v>65000</v>
      </c>
      <c r="K20" s="10"/>
      <c r="L20" s="10"/>
      <c r="M20" s="10"/>
      <c r="N20" s="10"/>
      <c r="O20" s="10"/>
    </row>
    <row r="21" customFormat="false" ht="15" hidden="false" customHeight="true" outlineLevel="0" collapsed="false">
      <c r="A21" s="3" t="s">
        <v>30</v>
      </c>
      <c r="B21" s="10" t="n">
        <f aca="false">B19-B20</f>
        <v>19602573.968576</v>
      </c>
      <c r="C21" s="3" t="s">
        <v>18</v>
      </c>
      <c r="D21" s="3"/>
      <c r="E21" s="3"/>
      <c r="F21" s="3"/>
      <c r="G21" s="3"/>
      <c r="H21" s="3"/>
      <c r="I21" s="3"/>
      <c r="J21" s="15" t="n">
        <v>80000</v>
      </c>
      <c r="K21" s="10"/>
      <c r="L21" s="10"/>
      <c r="M21" s="10"/>
      <c r="N21" s="10"/>
      <c r="O21" s="10"/>
    </row>
    <row r="22" customFormat="false" ht="15" hidden="false" customHeight="true" outlineLevel="0" collapsed="false">
      <c r="A22" s="3"/>
      <c r="B22" s="3"/>
      <c r="C22" s="3"/>
      <c r="D22" s="3"/>
      <c r="E22" s="3"/>
      <c r="F22" s="3"/>
      <c r="G22" s="3"/>
      <c r="H22" s="3"/>
      <c r="I22" s="3"/>
      <c r="J22" s="15" t="n">
        <v>95000</v>
      </c>
      <c r="K22" s="10"/>
      <c r="L22" s="10"/>
      <c r="M22" s="10"/>
      <c r="N22" s="10"/>
      <c r="O22" s="10"/>
    </row>
    <row r="23" customFormat="false" ht="15" hidden="false" customHeight="true" outlineLevel="0" collapsed="false">
      <c r="A23" s="4" t="s">
        <v>31</v>
      </c>
      <c r="B23" s="4"/>
      <c r="C23" s="4"/>
      <c r="D23" s="4"/>
      <c r="E23" s="4"/>
      <c r="F23" s="4"/>
      <c r="G23" s="4"/>
      <c r="H23" s="3"/>
      <c r="I23" s="3"/>
      <c r="J23" s="15" t="n">
        <v>110000</v>
      </c>
      <c r="K23" s="10"/>
      <c r="L23" s="10"/>
      <c r="M23" s="10"/>
      <c r="N23" s="10"/>
      <c r="O23" s="10"/>
    </row>
    <row r="24" customFormat="false" ht="15" hidden="false" customHeight="true" outlineLevel="0" collapsed="false">
      <c r="A24" s="16" t="s">
        <v>32</v>
      </c>
      <c r="B24" s="16" t="s">
        <v>33</v>
      </c>
      <c r="C24" s="16" t="s">
        <v>34</v>
      </c>
      <c r="D24" s="16" t="s">
        <v>35</v>
      </c>
      <c r="E24" s="16" t="s">
        <v>36</v>
      </c>
      <c r="F24" s="16" t="s">
        <v>37</v>
      </c>
      <c r="G24" s="16" t="s">
        <v>38</v>
      </c>
      <c r="H24" s="3"/>
      <c r="I24" s="3"/>
      <c r="J24" s="3"/>
      <c r="K24" s="3"/>
      <c r="L24" s="3"/>
      <c r="M24" s="3"/>
      <c r="N24" s="3"/>
      <c r="O24" s="3"/>
    </row>
    <row r="25" customFormat="false" ht="15" hidden="false" customHeight="true" outlineLevel="0" collapsed="false">
      <c r="A25" s="3" t="s">
        <v>39</v>
      </c>
      <c r="B25" s="10" t="n">
        <v>0</v>
      </c>
      <c r="C25" s="10" t="n">
        <f aca="false">$B$6</f>
        <v>80000</v>
      </c>
      <c r="D25" s="10" t="n">
        <f aca="false">C25*(1+$B$8)</f>
        <v>83200</v>
      </c>
      <c r="E25" s="10" t="n">
        <f aca="false">D25*(1+$B$8)</f>
        <v>86528</v>
      </c>
      <c r="F25" s="10" t="n">
        <f aca="false">E25*(1+$B$8)</f>
        <v>89989.12</v>
      </c>
      <c r="G25" s="10" t="n">
        <f aca="false">F25*(1+$B$8)</f>
        <v>93588.6848</v>
      </c>
      <c r="H25" s="3"/>
      <c r="I25" s="13" t="s">
        <v>40</v>
      </c>
      <c r="J25" s="13"/>
      <c r="K25" s="13"/>
      <c r="L25" s="13"/>
      <c r="M25" s="13"/>
      <c r="N25" s="13"/>
      <c r="O25" s="13"/>
    </row>
    <row r="26" customFormat="false" ht="15" hidden="false" customHeight="true" outlineLevel="0" collapsed="false">
      <c r="A26" s="3" t="s">
        <v>41</v>
      </c>
      <c r="B26" s="17" t="n">
        <v>0</v>
      </c>
      <c r="C26" s="17" t="n">
        <f aca="false">$B$7</f>
        <v>1200</v>
      </c>
      <c r="D26" s="17" t="n">
        <f aca="false">C26*(1+$B$9)</f>
        <v>1236</v>
      </c>
      <c r="E26" s="17" t="n">
        <f aca="false">D26*(1+$B$9)</f>
        <v>1273.08</v>
      </c>
      <c r="F26" s="17" t="n">
        <f aca="false">E26*(1+$B$9)</f>
        <v>1311.2724</v>
      </c>
      <c r="G26" s="17" t="n">
        <f aca="false">F26*(1+$B$9)</f>
        <v>1350.610572</v>
      </c>
      <c r="H26" s="3"/>
      <c r="I26" s="13"/>
      <c r="J26" s="13"/>
      <c r="K26" s="13"/>
      <c r="L26" s="13"/>
      <c r="M26" s="13"/>
      <c r="N26" s="13"/>
      <c r="O26" s="13"/>
    </row>
    <row r="27" customFormat="false" ht="15" hidden="false" customHeight="true" outlineLevel="0" collapsed="false">
      <c r="A27" s="3" t="s">
        <v>42</v>
      </c>
      <c r="B27" s="10" t="n">
        <v>0</v>
      </c>
      <c r="C27" s="10" t="n">
        <f aca="false">C25*C26</f>
        <v>96000000</v>
      </c>
      <c r="D27" s="10" t="n">
        <f aca="false">D25*D26</f>
        <v>102835200</v>
      </c>
      <c r="E27" s="10" t="n">
        <f aca="false">E25*E26</f>
        <v>110157066.24</v>
      </c>
      <c r="F27" s="10" t="n">
        <f aca="false">F25*F26</f>
        <v>118000249.356288</v>
      </c>
      <c r="G27" s="10" t="n">
        <f aca="false">G25*G26</f>
        <v>126401867.110456</v>
      </c>
      <c r="H27" s="3"/>
      <c r="I27" s="13"/>
      <c r="J27" s="13"/>
      <c r="K27" s="13"/>
      <c r="L27" s="13"/>
      <c r="M27" s="13"/>
      <c r="N27" s="13"/>
      <c r="O27" s="13"/>
    </row>
    <row r="28" customFormat="false" ht="15" hidden="false" customHeight="true" outlineLevel="0" collapsed="false">
      <c r="A28" s="3" t="s">
        <v>43</v>
      </c>
      <c r="B28" s="17" t="n">
        <v>0</v>
      </c>
      <c r="C28" s="17" t="n">
        <f aca="false">$B$10</f>
        <v>700</v>
      </c>
      <c r="D28" s="17" t="n">
        <f aca="false">C28*(1+$B$11)</f>
        <v>721</v>
      </c>
      <c r="E28" s="17" t="n">
        <f aca="false">D28*(1+$B$11)</f>
        <v>742.63</v>
      </c>
      <c r="F28" s="17" t="n">
        <f aca="false">E28*(1+$B$11)</f>
        <v>764.9089</v>
      </c>
      <c r="G28" s="17" t="n">
        <f aca="false">F28*(1+$B$11)</f>
        <v>787.856167</v>
      </c>
      <c r="H28" s="3"/>
      <c r="I28" s="3"/>
      <c r="J28" s="3"/>
      <c r="K28" s="3"/>
      <c r="L28" s="3"/>
      <c r="M28" s="3"/>
      <c r="N28" s="3"/>
      <c r="O28" s="3"/>
    </row>
    <row r="29" customFormat="false" ht="15" hidden="false" customHeight="true" outlineLevel="0" collapsed="false">
      <c r="A29" s="3" t="s">
        <v>44</v>
      </c>
      <c r="B29" s="10" t="n">
        <v>0</v>
      </c>
      <c r="C29" s="10" t="n">
        <f aca="false">C25*C28</f>
        <v>56000000</v>
      </c>
      <c r="D29" s="10" t="n">
        <f aca="false">D25*D28</f>
        <v>59987200</v>
      </c>
      <c r="E29" s="10" t="n">
        <f aca="false">E25*E28</f>
        <v>64258288.64</v>
      </c>
      <c r="F29" s="10" t="n">
        <f aca="false">F25*F28</f>
        <v>68833478.791168</v>
      </c>
      <c r="G29" s="10" t="n">
        <f aca="false">G25*G28</f>
        <v>73734422.4810992</v>
      </c>
      <c r="H29" s="3"/>
      <c r="I29" s="3"/>
      <c r="J29" s="3"/>
      <c r="K29" s="3"/>
      <c r="L29" s="3"/>
      <c r="M29" s="3"/>
      <c r="N29" s="3"/>
      <c r="O29" s="3"/>
    </row>
    <row r="30" customFormat="false" ht="15" hidden="false" customHeight="true" outlineLevel="0" collapsed="false">
      <c r="A30" s="3" t="s">
        <v>45</v>
      </c>
      <c r="B30" s="10" t="n">
        <v>0</v>
      </c>
      <c r="C30" s="10" t="n">
        <f aca="false">$B$12</f>
        <v>18000000</v>
      </c>
      <c r="D30" s="10" t="n">
        <f aca="false">C30*(1+$B$13)</f>
        <v>18720000</v>
      </c>
      <c r="E30" s="10" t="n">
        <f aca="false">D30*(1+$B$13)</f>
        <v>19468800</v>
      </c>
      <c r="F30" s="10" t="n">
        <f aca="false">E30*(1+$B$13)</f>
        <v>20247552</v>
      </c>
      <c r="G30" s="10" t="n">
        <f aca="false">F30*(1+$B$13)</f>
        <v>21057454.08</v>
      </c>
      <c r="H30" s="3"/>
      <c r="I30" s="3"/>
      <c r="J30" s="3"/>
      <c r="K30" s="3"/>
      <c r="L30" s="3"/>
      <c r="M30" s="3"/>
      <c r="N30" s="3"/>
      <c r="O30" s="3"/>
    </row>
    <row r="31" customFormat="false" ht="15" hidden="false" customHeight="true" outlineLevel="0" collapsed="false">
      <c r="A31" s="3" t="s">
        <v>46</v>
      </c>
      <c r="B31" s="10" t="n">
        <v>0</v>
      </c>
      <c r="C31" s="10" t="n">
        <f aca="false">C27-C29-C30</f>
        <v>22000000</v>
      </c>
      <c r="D31" s="10" t="n">
        <f aca="false">D27-D29-D30</f>
        <v>24128000</v>
      </c>
      <c r="E31" s="10" t="n">
        <f aca="false">E27-E29-E30</f>
        <v>26429977.6</v>
      </c>
      <c r="F31" s="10" t="n">
        <f aca="false">F27-F29-F30</f>
        <v>28919218.56512</v>
      </c>
      <c r="G31" s="10" t="n">
        <f aca="false">G27-G29-G30</f>
        <v>31609990.5493566</v>
      </c>
      <c r="H31" s="3"/>
      <c r="I31" s="3"/>
      <c r="J31" s="3"/>
      <c r="K31" s="3"/>
      <c r="L31" s="3"/>
      <c r="M31" s="3"/>
      <c r="N31" s="3"/>
      <c r="O31" s="3"/>
    </row>
    <row r="32" customFormat="false" ht="15" hidden="false" customHeight="true" outlineLevel="0" collapsed="false">
      <c r="A32" s="3" t="s">
        <v>47</v>
      </c>
      <c r="B32" s="10" t="n">
        <v>0</v>
      </c>
      <c r="C32" s="10" t="n">
        <f aca="false">MAX(C31,0)*$B$14</f>
        <v>4400000</v>
      </c>
      <c r="D32" s="10" t="n">
        <f aca="false">MAX(D31,0)*$B$14</f>
        <v>4825600</v>
      </c>
      <c r="E32" s="10" t="n">
        <f aca="false">MAX(E31,0)*$B$14</f>
        <v>5285995.52</v>
      </c>
      <c r="F32" s="10" t="n">
        <f aca="false">MAX(F31,0)*$B$14</f>
        <v>5783843.713024</v>
      </c>
      <c r="G32" s="10" t="n">
        <f aca="false">MAX(G31,0)*$B$14</f>
        <v>6321998.10987131</v>
      </c>
      <c r="H32" s="3"/>
      <c r="I32" s="3"/>
      <c r="J32" s="3"/>
      <c r="K32" s="3"/>
      <c r="L32" s="3"/>
      <c r="M32" s="3"/>
      <c r="N32" s="3"/>
      <c r="O32" s="3"/>
    </row>
    <row r="33" customFormat="false" ht="15" hidden="false" customHeight="true" outlineLevel="0" collapsed="false">
      <c r="A33" s="18" t="s">
        <v>48</v>
      </c>
      <c r="B33" s="19" t="n">
        <f aca="false">-$B$15</f>
        <v>-30000000</v>
      </c>
      <c r="C33" s="19" t="n">
        <f aca="false">C31-C32</f>
        <v>17600000</v>
      </c>
      <c r="D33" s="19" t="n">
        <f aca="false">D31-D32</f>
        <v>19302400</v>
      </c>
      <c r="E33" s="19" t="n">
        <f aca="false">E31-E32</f>
        <v>21143982.08</v>
      </c>
      <c r="F33" s="19" t="n">
        <f aca="false">F31-F32</f>
        <v>23135374.852096</v>
      </c>
      <c r="G33" s="19" t="n">
        <f aca="false">G31-G32</f>
        <v>25287992.4394853</v>
      </c>
      <c r="H33" s="3"/>
      <c r="I33" s="3"/>
      <c r="J33" s="3"/>
      <c r="K33" s="3"/>
      <c r="L33" s="3"/>
      <c r="M33" s="3"/>
      <c r="N33" s="3"/>
      <c r="O33" s="3"/>
    </row>
    <row r="34" customFormat="false" ht="15" hidden="false" customHeight="true" outlineLevel="0" collapsed="false">
      <c r="A34" s="3" t="s">
        <v>49</v>
      </c>
      <c r="B34" s="20" t="n">
        <v>1</v>
      </c>
      <c r="C34" s="20" t="n">
        <f aca="false">1/(1+$B$16)^1</f>
        <v>0.869565217391304</v>
      </c>
      <c r="D34" s="20" t="n">
        <f aca="false">1/(1+$B$16)^2</f>
        <v>0.756143667296787</v>
      </c>
      <c r="E34" s="20" t="n">
        <f aca="false">1/(1+$B$16)^3</f>
        <v>0.657516232431988</v>
      </c>
      <c r="F34" s="20" t="n">
        <f aca="false">1/(1+$B$16)^4</f>
        <v>0.571753245593033</v>
      </c>
      <c r="G34" s="20" t="n">
        <f aca="false">1/(1+$B$16)^5</f>
        <v>0.49717673529829</v>
      </c>
      <c r="H34" s="3"/>
      <c r="I34" s="3"/>
      <c r="J34" s="3"/>
      <c r="K34" s="3"/>
      <c r="L34" s="3"/>
      <c r="M34" s="3"/>
      <c r="N34" s="3"/>
      <c r="O34" s="3"/>
    </row>
    <row r="35" customFormat="false" ht="15" hidden="false" customHeight="true" outlineLevel="0" collapsed="false">
      <c r="A35" s="21" t="s">
        <v>50</v>
      </c>
      <c r="B35" s="22" t="n">
        <f aca="false">B33*B34</f>
        <v>-30000000</v>
      </c>
      <c r="C35" s="22" t="n">
        <f aca="false">C33*C34</f>
        <v>15304347.826087</v>
      </c>
      <c r="D35" s="22" t="n">
        <f aca="false">D33*D34</f>
        <v>14595387.5236295</v>
      </c>
      <c r="E35" s="22" t="n">
        <f aca="false">E33*E34</f>
        <v>13902511.4358511</v>
      </c>
      <c r="F35" s="22" t="n">
        <f aca="false">F33*F34</f>
        <v>13227725.6596973</v>
      </c>
      <c r="G35" s="22" t="n">
        <f aca="false">G33*G34</f>
        <v>12572601.5233111</v>
      </c>
      <c r="H35" s="3"/>
      <c r="I35" s="3"/>
      <c r="J35" s="3"/>
      <c r="K35" s="3"/>
      <c r="L35" s="3"/>
      <c r="M35" s="3"/>
      <c r="N35" s="3"/>
      <c r="O35" s="3"/>
    </row>
  </sheetData>
  <mergeCells count="9">
    <mergeCell ref="A1:O1"/>
    <mergeCell ref="A2:O2"/>
    <mergeCell ref="A4:C4"/>
    <mergeCell ref="I4:O4"/>
    <mergeCell ref="I12:O14"/>
    <mergeCell ref="I17:O17"/>
    <mergeCell ref="A18:C18"/>
    <mergeCell ref="A23:G23"/>
    <mergeCell ref="I25:O2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9"/>
    <col collapsed="false" customWidth="true" hidden="false" outlineLevel="0" max="2" min="2" style="0" width="23"/>
    <col collapsed="false" customWidth="true" hidden="false" outlineLevel="0" max="7" min="3" style="0" width="18"/>
    <col collapsed="false" customWidth="true" hidden="false" outlineLevel="0" max="8" min="8" style="0" width="42"/>
  </cols>
  <sheetData>
    <row r="1" customFormat="false" ht="16.5" hidden="false" customHeight="true" outlineLevel="0" collapsed="false">
      <c r="A1" s="23" t="s">
        <v>51</v>
      </c>
      <c r="B1" s="23"/>
      <c r="C1" s="23"/>
      <c r="D1" s="23"/>
      <c r="E1" s="23"/>
      <c r="F1" s="23"/>
      <c r="G1" s="23"/>
      <c r="H1" s="23"/>
    </row>
    <row r="2" customFormat="false" ht="15" hidden="false" customHeight="true" outlineLevel="0" collapsed="false">
      <c r="A2" s="24" t="s">
        <v>52</v>
      </c>
      <c r="B2" s="24"/>
      <c r="C2" s="24"/>
      <c r="D2" s="24"/>
      <c r="E2" s="24"/>
      <c r="F2" s="24"/>
      <c r="G2" s="24"/>
      <c r="H2" s="24"/>
    </row>
    <row r="4" customFormat="false" ht="26.25" hidden="false" customHeight="true" outlineLevel="0" collapsed="false">
      <c r="A4" s="25" t="s">
        <v>53</v>
      </c>
      <c r="B4" s="25" t="s">
        <v>54</v>
      </c>
      <c r="C4" s="25" t="s">
        <v>55</v>
      </c>
      <c r="D4" s="25" t="s">
        <v>56</v>
      </c>
      <c r="E4" s="25" t="s">
        <v>57</v>
      </c>
      <c r="F4" s="25" t="s">
        <v>58</v>
      </c>
      <c r="G4" s="25" t="s">
        <v>59</v>
      </c>
      <c r="H4" s="25" t="s">
        <v>60</v>
      </c>
    </row>
    <row r="5" customFormat="false" ht="15" hidden="false" customHeight="true" outlineLevel="0" collapsed="false">
      <c r="A5" s="26" t="s">
        <v>41</v>
      </c>
      <c r="B5" s="26" t="s">
        <v>61</v>
      </c>
      <c r="C5" s="27" t="n">
        <v>1200</v>
      </c>
      <c r="D5" s="26" t="s">
        <v>62</v>
      </c>
      <c r="E5" s="28"/>
      <c r="F5" s="27" t="str">
        <f aca="false">IF(E5="","",C5-E5)</f>
        <v/>
      </c>
      <c r="G5" s="29" t="str">
        <f aca="false">IF(F5="","",F5/C5)</f>
        <v/>
      </c>
      <c r="H5" s="26" t="s">
        <v>63</v>
      </c>
    </row>
    <row r="6" customFormat="false" ht="15" hidden="false" customHeight="true" outlineLevel="0" collapsed="false">
      <c r="A6" s="26" t="s">
        <v>43</v>
      </c>
      <c r="B6" s="26" t="s">
        <v>64</v>
      </c>
      <c r="C6" s="27" t="n">
        <v>700</v>
      </c>
      <c r="D6" s="26" t="s">
        <v>62</v>
      </c>
      <c r="E6" s="28"/>
      <c r="F6" s="27" t="str">
        <f aca="false">IF(E6="","",E6-C6)</f>
        <v/>
      </c>
      <c r="G6" s="29" t="str">
        <f aca="false">IF(F6="","",F6/C6)</f>
        <v/>
      </c>
      <c r="H6" s="26" t="s">
        <v>65</v>
      </c>
    </row>
    <row r="7" customFormat="false" ht="15" hidden="false" customHeight="true" outlineLevel="0" collapsed="false">
      <c r="A7" s="26" t="s">
        <v>39</v>
      </c>
      <c r="B7" s="26" t="s">
        <v>61</v>
      </c>
      <c r="C7" s="27" t="n">
        <v>80000</v>
      </c>
      <c r="D7" s="26" t="s">
        <v>62</v>
      </c>
      <c r="E7" s="28"/>
      <c r="F7" s="27" t="str">
        <f aca="false">IF(E7="","",C7-E7)</f>
        <v/>
      </c>
      <c r="G7" s="29" t="str">
        <f aca="false">IF(F7="","",F7/C7)</f>
        <v/>
      </c>
      <c r="H7" s="26" t="s">
        <v>66</v>
      </c>
    </row>
    <row r="8" customFormat="false" ht="15" hidden="false" customHeight="true" outlineLevel="0" collapsed="false">
      <c r="A8" s="26" t="s">
        <v>24</v>
      </c>
      <c r="B8" s="26" t="s">
        <v>64</v>
      </c>
      <c r="C8" s="29" t="n">
        <v>0.15</v>
      </c>
      <c r="D8" s="26" t="s">
        <v>62</v>
      </c>
      <c r="E8" s="30"/>
      <c r="F8" s="29" t="str">
        <f aca="false">IF(E8="","",E8-C8)</f>
        <v/>
      </c>
      <c r="G8" s="29" t="str">
        <f aca="false">IF(F8="","",F8/C8)</f>
        <v/>
      </c>
      <c r="H8" s="26" t="s">
        <v>67</v>
      </c>
    </row>
    <row r="9" customFormat="false" ht="15" hidden="false" customHeight="true" outlineLevel="0" collapsed="false">
      <c r="A9" s="26" t="s">
        <v>41</v>
      </c>
      <c r="B9" s="26" t="s">
        <v>61</v>
      </c>
      <c r="C9" s="27" t="n">
        <v>1200</v>
      </c>
      <c r="D9" s="26" t="s">
        <v>68</v>
      </c>
      <c r="E9" s="28"/>
      <c r="F9" s="27" t="str">
        <f aca="false">IF(E9="","",C9-E9)</f>
        <v/>
      </c>
      <c r="G9" s="29" t="str">
        <f aca="false">IF(F9="","",F9/C9)</f>
        <v/>
      </c>
      <c r="H9" s="26" t="s">
        <v>69</v>
      </c>
    </row>
    <row r="12" customFormat="false" ht="15" hidden="false" customHeight="true" outlineLevel="0" collapsed="false">
      <c r="A12" s="31" t="s">
        <v>70</v>
      </c>
      <c r="B12" s="31"/>
      <c r="C12" s="31"/>
      <c r="D12" s="31"/>
      <c r="E12" s="31"/>
      <c r="F12" s="31"/>
      <c r="G12" s="31"/>
      <c r="H12" s="31"/>
    </row>
    <row r="13" customFormat="false" ht="15" hidden="false" customHeight="true" outlineLevel="0" collapsed="false">
      <c r="A13" s="25" t="s">
        <v>71</v>
      </c>
      <c r="B13" s="25" t="s">
        <v>72</v>
      </c>
      <c r="C13" s="25"/>
      <c r="D13" s="25"/>
      <c r="E13" s="25"/>
      <c r="F13" s="25"/>
      <c r="G13" s="25"/>
      <c r="H13" s="25"/>
    </row>
    <row r="14" customFormat="false" ht="15" hidden="false" customHeight="true" outlineLevel="0" collapsed="false">
      <c r="A14" s="3" t="s">
        <v>73</v>
      </c>
      <c r="B14" s="32" t="s">
        <v>74</v>
      </c>
      <c r="C14" s="32"/>
      <c r="D14" s="32"/>
      <c r="E14" s="32"/>
      <c r="F14" s="32"/>
      <c r="G14" s="32"/>
      <c r="H14" s="32"/>
    </row>
    <row r="15" customFormat="false" ht="15" hidden="false" customHeight="true" outlineLevel="0" collapsed="false">
      <c r="A15" s="3" t="s">
        <v>75</v>
      </c>
      <c r="B15" s="32" t="s">
        <v>76</v>
      </c>
      <c r="C15" s="32"/>
      <c r="D15" s="32"/>
      <c r="E15" s="32"/>
      <c r="F15" s="32"/>
      <c r="G15" s="32"/>
      <c r="H15" s="32"/>
    </row>
    <row r="16" customFormat="false" ht="15" hidden="false" customHeight="true" outlineLevel="0" collapsed="false">
      <c r="A16" s="3" t="s">
        <v>77</v>
      </c>
      <c r="B16" s="32" t="s">
        <v>78</v>
      </c>
      <c r="C16" s="32"/>
      <c r="D16" s="32"/>
      <c r="E16" s="32"/>
      <c r="F16" s="32"/>
      <c r="G16" s="32"/>
      <c r="H16" s="32"/>
    </row>
    <row r="17" customFormat="false" ht="15" hidden="false" customHeight="true" outlineLevel="0" collapsed="false">
      <c r="A17" s="3" t="s">
        <v>79</v>
      </c>
      <c r="B17" s="32" t="s">
        <v>80</v>
      </c>
      <c r="C17" s="32"/>
      <c r="D17" s="32"/>
      <c r="E17" s="32"/>
      <c r="F17" s="32"/>
      <c r="G17" s="32"/>
      <c r="H17" s="32"/>
    </row>
    <row r="18" customFormat="false" ht="15" hidden="false" customHeight="true" outlineLevel="0" collapsed="false">
      <c r="A18" s="3" t="s">
        <v>81</v>
      </c>
      <c r="B18" s="32" t="s">
        <v>82</v>
      </c>
      <c r="C18" s="32"/>
      <c r="D18" s="32"/>
      <c r="E18" s="32"/>
      <c r="F18" s="32"/>
      <c r="G18" s="32"/>
      <c r="H18" s="32"/>
    </row>
  </sheetData>
  <mergeCells count="9">
    <mergeCell ref="A1:H1"/>
    <mergeCell ref="A2:H2"/>
    <mergeCell ref="A12:H12"/>
    <mergeCell ref="B13:H13"/>
    <mergeCell ref="B14:H14"/>
    <mergeCell ref="B15:H15"/>
    <mergeCell ref="B16:H16"/>
    <mergeCell ref="B17:H17"/>
    <mergeCell ref="B18:H1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56"/>
    <col collapsed="false" customWidth="true" hidden="false" outlineLevel="0" max="3" min="3" style="0" width="35"/>
    <col collapsed="false" customWidth="true" hidden="false" outlineLevel="0" max="4" min="4" style="0" width="30"/>
    <col collapsed="false" customWidth="true" hidden="false" outlineLevel="0" max="5" min="5" style="0" width="13"/>
    <col collapsed="false" customWidth="true" hidden="false" outlineLevel="0" max="6" min="6" style="0" width="39"/>
  </cols>
  <sheetData>
    <row r="1" customFormat="false" ht="16.5" hidden="false" customHeight="true" outlineLevel="0" collapsed="false">
      <c r="A1" s="1" t="s">
        <v>83</v>
      </c>
      <c r="B1" s="1"/>
      <c r="C1" s="1"/>
      <c r="D1" s="1"/>
      <c r="E1" s="1"/>
      <c r="F1" s="1"/>
    </row>
    <row r="2" customFormat="false" ht="15" hidden="false" customHeight="true" outlineLevel="0" collapsed="false">
      <c r="A2" s="24" t="s">
        <v>84</v>
      </c>
      <c r="B2" s="24"/>
      <c r="C2" s="24"/>
      <c r="D2" s="24"/>
      <c r="E2" s="24"/>
      <c r="F2" s="24"/>
    </row>
    <row r="3" customFormat="false" ht="15" hidden="false" customHeight="true" outlineLevel="0" collapsed="false">
      <c r="A3" s="3"/>
      <c r="B3" s="3"/>
      <c r="C3" s="3"/>
      <c r="D3" s="3"/>
      <c r="E3" s="3"/>
      <c r="F3" s="3"/>
    </row>
    <row r="4" customFormat="false" ht="15" hidden="false" customHeight="true" outlineLevel="0" collapsed="false">
      <c r="A4" s="5" t="s">
        <v>85</v>
      </c>
      <c r="B4" s="5" t="s">
        <v>86</v>
      </c>
      <c r="C4" s="5" t="s">
        <v>87</v>
      </c>
      <c r="D4" s="5" t="s">
        <v>88</v>
      </c>
      <c r="E4" s="5" t="s">
        <v>89</v>
      </c>
      <c r="F4" s="5" t="s">
        <v>90</v>
      </c>
    </row>
    <row r="5" customFormat="false" ht="26.25" hidden="false" customHeight="true" outlineLevel="0" collapsed="false">
      <c r="A5" s="3" t="n">
        <v>1</v>
      </c>
      <c r="B5" s="3" t="s">
        <v>91</v>
      </c>
      <c r="C5" s="3" t="s">
        <v>92</v>
      </c>
      <c r="D5" s="3"/>
      <c r="E5" s="3"/>
      <c r="F5" s="3" t="s">
        <v>93</v>
      </c>
    </row>
    <row r="6" customFormat="false" ht="26.25" hidden="false" customHeight="true" outlineLevel="0" collapsed="false">
      <c r="A6" s="3" t="n">
        <v>2</v>
      </c>
      <c r="B6" s="3" t="s">
        <v>94</v>
      </c>
      <c r="C6" s="3" t="s">
        <v>95</v>
      </c>
      <c r="D6" s="3"/>
      <c r="E6" s="3"/>
      <c r="F6" s="3" t="s">
        <v>96</v>
      </c>
    </row>
    <row r="7" customFormat="false" ht="26.25" hidden="false" customHeight="true" outlineLevel="0" collapsed="false">
      <c r="A7" s="3" t="n">
        <v>3</v>
      </c>
      <c r="B7" s="3" t="s">
        <v>97</v>
      </c>
      <c r="C7" s="3" t="s">
        <v>98</v>
      </c>
      <c r="D7" s="3"/>
      <c r="E7" s="3"/>
      <c r="F7" s="3" t="s">
        <v>99</v>
      </c>
    </row>
    <row r="8" customFormat="false" ht="15" hidden="false" customHeight="true" outlineLevel="0" collapsed="false">
      <c r="A8" s="3" t="n">
        <v>4</v>
      </c>
      <c r="B8" s="3" t="s">
        <v>100</v>
      </c>
      <c r="C8" s="3" t="s">
        <v>101</v>
      </c>
      <c r="D8" s="3"/>
      <c r="E8" s="3"/>
      <c r="F8" s="3" t="s">
        <v>102</v>
      </c>
    </row>
    <row r="9" customFormat="false" ht="15" hidden="false" customHeight="true" outlineLevel="0" collapsed="false">
      <c r="A9" s="3" t="n">
        <v>5</v>
      </c>
      <c r="B9" s="3" t="s">
        <v>103</v>
      </c>
      <c r="C9" s="3" t="s">
        <v>104</v>
      </c>
      <c r="D9" s="3"/>
      <c r="E9" s="3"/>
      <c r="F9" s="3" t="s">
        <v>105</v>
      </c>
    </row>
    <row r="10" customFormat="false" ht="15" hidden="false" customHeight="true" outlineLevel="0" collapsed="false">
      <c r="A10" s="3" t="n">
        <v>6</v>
      </c>
      <c r="B10" s="3" t="s">
        <v>106</v>
      </c>
      <c r="C10" s="3" t="s">
        <v>107</v>
      </c>
      <c r="D10" s="3"/>
      <c r="E10" s="3"/>
      <c r="F10" s="3" t="s">
        <v>108</v>
      </c>
    </row>
    <row r="11" customFormat="false" ht="15" hidden="false" customHeight="true" outlineLevel="0" collapsed="false">
      <c r="A11" s="3" t="n">
        <v>7</v>
      </c>
      <c r="B11" s="3" t="s">
        <v>109</v>
      </c>
      <c r="C11" s="3" t="s">
        <v>110</v>
      </c>
      <c r="D11" s="3"/>
      <c r="E11" s="3"/>
      <c r="F11" s="3" t="s">
        <v>111</v>
      </c>
    </row>
    <row r="12" customFormat="false" ht="26.25" hidden="false" customHeight="true" outlineLevel="0" collapsed="false">
      <c r="A12" s="3" t="n">
        <v>8</v>
      </c>
      <c r="B12" s="3" t="s">
        <v>112</v>
      </c>
      <c r="C12" s="3" t="s">
        <v>113</v>
      </c>
      <c r="D12" s="3"/>
      <c r="E12" s="3"/>
      <c r="F12" s="3" t="s">
        <v>114</v>
      </c>
    </row>
    <row r="13" customFormat="false" ht="26.25" hidden="false" customHeight="true" outlineLevel="0" collapsed="false">
      <c r="A13" s="3" t="n">
        <v>9</v>
      </c>
      <c r="B13" s="3" t="s">
        <v>115</v>
      </c>
      <c r="C13" s="3" t="s">
        <v>116</v>
      </c>
      <c r="D13" s="3"/>
      <c r="E13" s="3"/>
      <c r="F13" s="3" t="s">
        <v>117</v>
      </c>
    </row>
    <row r="14" customFormat="false" ht="26.25" hidden="false" customHeight="true" outlineLevel="0" collapsed="false">
      <c r="A14" s="3" t="n">
        <v>10</v>
      </c>
      <c r="B14" s="3" t="s">
        <v>118</v>
      </c>
      <c r="C14" s="3" t="s">
        <v>119</v>
      </c>
      <c r="D14" s="3"/>
      <c r="E14" s="3"/>
      <c r="F14" s="3" t="s">
        <v>120</v>
      </c>
    </row>
  </sheetData>
  <mergeCells count="2">
    <mergeCell ref="A1:F1"/>
    <mergeCell ref="A2:F2"/>
  </mergeCells>
  <dataValidations count="1">
    <dataValidation allowBlank="false" errorStyle="stop" operator="between" showDropDown="false" showErrorMessage="false" showInputMessage="false" sqref="E5:E14" type="list">
      <formula1>"Не начато,В работе,Готово"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2026-10-09T17:27:02Z</dcterms:created>
  <dc:creator>openpyxl</dc:creator>
  <dc:description/>
  <dc:language>en-US</dc:language>
  <cp:lastModifiedBy/>
  <dcterms:modified xsi:type="dcterms:W3CDTF">2026-10-09T17:27:02Z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